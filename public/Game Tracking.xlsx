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shane\Desktop\"/>
    </mc:Choice>
  </mc:AlternateContent>
  <xr:revisionPtr revIDLastSave="0" documentId="8_{834CBEA3-E53D-40A4-9924-BB5BB5F3B1C9}" xr6:coauthVersionLast="47" xr6:coauthVersionMax="47" xr10:uidLastSave="{00000000-0000-0000-0000-000000000000}"/>
  <bookViews>
    <workbookView xWindow="-120" yWindow="-120" windowWidth="29040" windowHeight="16440" firstSheet="4" activeTab="1" xr2:uid="{A9AA8E54-3EFE-49B2-8D89-417FC60032EC}"/>
  </bookViews>
  <sheets>
    <sheet name="Players" sheetId="3" r:id="rId1"/>
    <sheet name="Decks" sheetId="4" r:id="rId2"/>
    <sheet name="Games" sheetId="5" r:id="rId3"/>
    <sheet name="Game Players" sheetId="6" r:id="rId4"/>
    <sheet name="Deck Dashboard" sheetId="9" r:id="rId5"/>
  </sheets>
  <definedNames>
    <definedName name="CommanderList">tblDecks[Commander]</definedName>
    <definedName name="DeckList">tblDecks[DeckID]</definedName>
    <definedName name="FilteredDeckList">_xlfn._xlws.FILTER(tblDecks[DeckID], tblDecks[PlayerName]=tblGamePlayers[[#This Row],[PlayerName]])</definedName>
    <definedName name="PlayerList">tblPlayers[PlayerName]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6" l="1"/>
  <c r="F39" i="6"/>
  <c r="F40" i="6"/>
  <c r="F41" i="6"/>
  <c r="B40" i="9"/>
  <c r="C40" i="9"/>
  <c r="B41" i="9"/>
  <c r="C41" i="9"/>
  <c r="B42" i="9"/>
  <c r="C42" i="9"/>
  <c r="F34" i="6"/>
  <c r="F35" i="6"/>
  <c r="F36" i="6"/>
  <c r="F37" i="6"/>
  <c r="F30" i="6"/>
  <c r="F31" i="6"/>
  <c r="F32" i="6"/>
  <c r="F33" i="6"/>
  <c r="F26" i="6"/>
  <c r="F27" i="6"/>
  <c r="F28" i="6"/>
  <c r="F29" i="6"/>
  <c r="F22" i="6"/>
  <c r="F23" i="6"/>
  <c r="F24" i="6"/>
  <c r="F25" i="6"/>
  <c r="F18" i="6"/>
  <c r="F19" i="6"/>
  <c r="F20" i="6"/>
  <c r="F21" i="6"/>
  <c r="F10" i="6"/>
  <c r="F11" i="6"/>
  <c r="F12" i="6"/>
  <c r="F13" i="6"/>
  <c r="F14" i="6"/>
  <c r="F15" i="6"/>
  <c r="F16" i="6"/>
  <c r="F17" i="6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F6" i="6"/>
  <c r="F7" i="6"/>
  <c r="F8" i="6"/>
  <c r="F9" i="6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2" i="6" a="1"/>
  <c r="C2" i="6" s="1"/>
  <c r="F3" i="6"/>
  <c r="F4" i="6"/>
  <c r="F5" i="6"/>
  <c r="F2" i="6"/>
  <c r="C10" i="6" a="1"/>
  <c r="C10" i="6" s="1"/>
  <c r="C11" i="6" a="1"/>
  <c r="C11" i="6" s="1"/>
  <c r="C12" i="6" a="1"/>
  <c r="C12" i="6" s="1"/>
  <c r="C13" i="6" a="1"/>
  <c r="C13" i="6" s="1"/>
  <c r="C14" i="6" l="1" a="1"/>
  <c r="C14" i="6" s="1"/>
  <c r="C15" i="6" a="1"/>
  <c r="C15" i="6" s="1"/>
  <c r="C16" i="6" a="1"/>
  <c r="C16" i="6" s="1"/>
  <c r="C17" i="6" a="1"/>
  <c r="C17" i="6" s="1"/>
  <c r="C18" i="6" a="1"/>
  <c r="C18" i="6" s="1"/>
  <c r="C19" i="6" a="1"/>
  <c r="C19" i="6" s="1"/>
  <c r="C20" i="6" a="1"/>
  <c r="C20" i="6" s="1"/>
  <c r="C21" i="6" a="1"/>
  <c r="C21" i="6" s="1"/>
  <c r="C24" i="6" a="1"/>
  <c r="C24" i="6" s="1"/>
  <c r="C22" i="6" a="1"/>
  <c r="C22" i="6" s="1"/>
  <c r="C23" i="6" a="1"/>
  <c r="C23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C40" i="6" a="1"/>
  <c r="C40" i="6" s="1"/>
  <c r="C41" i="6" a="1"/>
  <c r="C41" i="6" s="1"/>
  <c r="D17" i="9"/>
  <c r="G17" i="9"/>
  <c r="D11" i="9" l="1"/>
  <c r="D31" i="9"/>
  <c r="D19" i="9"/>
  <c r="D7" i="9"/>
  <c r="D9" i="9"/>
  <c r="D2" i="9"/>
  <c r="D33" i="9"/>
  <c r="D22" i="9"/>
  <c r="D32" i="9"/>
  <c r="D18" i="9"/>
  <c r="D21" i="9"/>
  <c r="D24" i="9"/>
  <c r="D27" i="9"/>
  <c r="D5" i="9"/>
  <c r="D23" i="9"/>
  <c r="D6" i="9"/>
  <c r="D25" i="9"/>
  <c r="D34" i="9"/>
  <c r="D13" i="9"/>
  <c r="D20" i="9"/>
  <c r="D14" i="9"/>
  <c r="D42" i="9"/>
  <c r="D41" i="9"/>
  <c r="D40" i="9"/>
  <c r="F12" i="9"/>
  <c r="F22" i="9"/>
  <c r="F6" i="9"/>
  <c r="F38" i="9"/>
  <c r="E18" i="9"/>
  <c r="F39" i="9"/>
  <c r="F26" i="9"/>
  <c r="F20" i="9"/>
  <c r="F11" i="9"/>
  <c r="E14" i="9"/>
  <c r="F23" i="9"/>
  <c r="F17" i="9"/>
  <c r="F5" i="9"/>
  <c r="E19" i="9"/>
  <c r="F33" i="9"/>
  <c r="F8" i="9"/>
  <c r="E38" i="9"/>
  <c r="E10" i="9"/>
  <c r="E36" i="9"/>
  <c r="F21" i="9"/>
  <c r="E32" i="9"/>
  <c r="F19" i="9"/>
  <c r="E21" i="9"/>
  <c r="E3" i="9"/>
  <c r="F37" i="9"/>
  <c r="F29" i="9"/>
  <c r="F3" i="9"/>
  <c r="F28" i="9"/>
  <c r="F7" i="9"/>
  <c r="E23" i="9"/>
  <c r="F30" i="9"/>
  <c r="F13" i="9"/>
  <c r="F15" i="9"/>
  <c r="E35" i="9"/>
  <c r="E22" i="9"/>
  <c r="E37" i="9"/>
  <c r="E11" i="9"/>
  <c r="F34" i="9"/>
  <c r="E7" i="9"/>
  <c r="E13" i="9"/>
  <c r="F10" i="9"/>
  <c r="F32" i="9"/>
  <c r="F18" i="9"/>
  <c r="E28" i="9"/>
  <c r="F24" i="9"/>
  <c r="E26" i="9"/>
  <c r="F14" i="9"/>
  <c r="E5" i="9"/>
  <c r="E4" i="9"/>
  <c r="E12" i="9"/>
  <c r="E15" i="9"/>
  <c r="E24" i="9"/>
  <c r="F36" i="9"/>
  <c r="F27" i="9"/>
  <c r="E8" i="9"/>
  <c r="E9" i="9"/>
  <c r="F35" i="9"/>
  <c r="E25" i="9"/>
  <c r="E20" i="9"/>
  <c r="E39" i="9"/>
  <c r="F4" i="9"/>
  <c r="F2" i="9"/>
  <c r="E34" i="9"/>
  <c r="E27" i="9"/>
  <c r="F9" i="9"/>
  <c r="F16" i="9"/>
  <c r="E2" i="9"/>
  <c r="E6" i="9"/>
  <c r="E33" i="9"/>
  <c r="F25" i="9"/>
  <c r="E16" i="9"/>
  <c r="E29" i="9"/>
  <c r="E30" i="9"/>
  <c r="E31" i="9"/>
  <c r="F42" i="9"/>
  <c r="E42" i="9"/>
  <c r="F41" i="9"/>
  <c r="E41" i="9"/>
  <c r="F40" i="9"/>
  <c r="E40" i="9"/>
  <c r="D26" i="9"/>
  <c r="G26" i="9" s="1"/>
  <c r="D38" i="9"/>
  <c r="G38" i="9" s="1"/>
  <c r="D37" i="9"/>
  <c r="G37" i="9" s="1"/>
  <c r="D29" i="9"/>
  <c r="G29" i="9" s="1"/>
  <c r="D10" i="9"/>
  <c r="G10" i="9" s="1"/>
  <c r="D39" i="9"/>
  <c r="G39" i="9" s="1"/>
  <c r="D28" i="9"/>
  <c r="G28" i="9" s="1"/>
  <c r="D36" i="9"/>
  <c r="G36" i="9" s="1"/>
  <c r="D16" i="9"/>
  <c r="G16" i="9" s="1"/>
  <c r="D4" i="9"/>
  <c r="G4" i="9" s="1"/>
  <c r="D35" i="9"/>
  <c r="G35" i="9" s="1"/>
  <c r="D8" i="9"/>
  <c r="G8" i="9" s="1"/>
  <c r="D3" i="9"/>
  <c r="G3" i="9" s="1"/>
  <c r="D15" i="9"/>
  <c r="G15" i="9" s="1"/>
  <c r="D12" i="9"/>
  <c r="G12" i="9" s="1"/>
  <c r="D30" i="9"/>
  <c r="G30" i="9" s="1"/>
  <c r="G40" i="9" l="1"/>
  <c r="G41" i="9"/>
  <c r="G42" i="9"/>
  <c r="G14" i="9"/>
  <c r="G20" i="9"/>
  <c r="G13" i="9"/>
  <c r="G34" i="9"/>
  <c r="G25" i="9"/>
  <c r="G6" i="9"/>
  <c r="G23" i="9"/>
  <c r="G5" i="9"/>
  <c r="G27" i="9"/>
  <c r="G24" i="9"/>
  <c r="G21" i="9"/>
  <c r="G18" i="9"/>
  <c r="G32" i="9"/>
  <c r="G22" i="9"/>
  <c r="G33" i="9"/>
  <c r="G2" i="9"/>
  <c r="G9" i="9"/>
  <c r="G7" i="9"/>
  <c r="G19" i="9"/>
  <c r="G31" i="9"/>
  <c r="G1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<sst xmlns="http://schemas.openxmlformats.org/spreadsheetml/2006/main" count="426" uniqueCount="156">
  <si>
    <t>PlayerID</t>
  </si>
  <si>
    <t>PlayerName</t>
  </si>
  <si>
    <t>P1</t>
  </si>
  <si>
    <t>Shane</t>
  </si>
  <si>
    <t>P2</t>
  </si>
  <si>
    <t>Nick</t>
  </si>
  <si>
    <t>P3</t>
  </si>
  <si>
    <t>Isaac</t>
  </si>
  <si>
    <t>P4</t>
  </si>
  <si>
    <t>Chavez</t>
  </si>
  <si>
    <t>P5</t>
  </si>
  <si>
    <t>Mark</t>
  </si>
  <si>
    <t>P6</t>
  </si>
  <si>
    <t>Franklin</t>
  </si>
  <si>
    <t>P7</t>
  </si>
  <si>
    <t>Jon Paul</t>
  </si>
  <si>
    <t>DeckID</t>
  </si>
  <si>
    <t>Commander</t>
  </si>
  <si>
    <t>Theme</t>
  </si>
  <si>
    <t>EstPower</t>
  </si>
  <si>
    <t>ArchidektID</t>
  </si>
  <si>
    <t>D1</t>
  </si>
  <si>
    <t>Arixmethes, Slumbering Isle</t>
  </si>
  <si>
    <t>Tribal</t>
  </si>
  <si>
    <t>D2</t>
  </si>
  <si>
    <t>Toralf, God of Fury</t>
  </si>
  <si>
    <t>Burn</t>
  </si>
  <si>
    <t>D3</t>
  </si>
  <si>
    <t>Elesh Norn, Grand Cenobite</t>
  </si>
  <si>
    <t>Tax</t>
  </si>
  <si>
    <t>D4</t>
  </si>
  <si>
    <t>Norman Osborn // Green Goblin</t>
  </si>
  <si>
    <t>Discard</t>
  </si>
  <si>
    <t>D5</t>
  </si>
  <si>
    <t>Lynde, Cheerful Tormentor</t>
  </si>
  <si>
    <t>Curses</t>
  </si>
  <si>
    <t>D6</t>
  </si>
  <si>
    <t>Zidane, Tantalus Thief</t>
  </si>
  <si>
    <t>Theft</t>
  </si>
  <si>
    <t>D7</t>
  </si>
  <si>
    <t>Akiri, Line-Slinger/Silas Renn, Seeker Adept</t>
  </si>
  <si>
    <t>Artifacts</t>
  </si>
  <si>
    <t>D8</t>
  </si>
  <si>
    <t>Saruman of Many Colors</t>
  </si>
  <si>
    <t>Spellslinger, Reanimator</t>
  </si>
  <si>
    <t>D9</t>
  </si>
  <si>
    <t>Clive, Ifrit's Dominant</t>
  </si>
  <si>
    <t>Discard, Burn</t>
  </si>
  <si>
    <t>D10</t>
  </si>
  <si>
    <t>Aragorn, King of Gondor</t>
  </si>
  <si>
    <t>D11</t>
  </si>
  <si>
    <t>Cloud, Ex-SOLDIER</t>
  </si>
  <si>
    <t>Voltron</t>
  </si>
  <si>
    <t>D12</t>
  </si>
  <si>
    <t>Fire Lord Zuko</t>
  </si>
  <si>
    <t>D13</t>
  </si>
  <si>
    <t>Ureni of the Unwritten</t>
  </si>
  <si>
    <t>D14</t>
  </si>
  <si>
    <t>Teval, the Balanced Scale</t>
  </si>
  <si>
    <t>Spellslinger, Graveyard</t>
  </si>
  <si>
    <t>D15</t>
  </si>
  <si>
    <t>Baylen, the Haymaker</t>
  </si>
  <si>
    <t>D16</t>
  </si>
  <si>
    <t>Valgavoth, Harrower of Souls</t>
  </si>
  <si>
    <t>Burn, Group Slug</t>
  </si>
  <si>
    <t>D17</t>
  </si>
  <si>
    <t>Yuriko, the Tiger's Shadow</t>
  </si>
  <si>
    <t>Tempo, Tribal</t>
  </si>
  <si>
    <t>D18</t>
  </si>
  <si>
    <t>Millicent, Restless Revenant</t>
  </si>
  <si>
    <t>D19</t>
  </si>
  <si>
    <t>Ghyrson Starn, Kelermorph</t>
  </si>
  <si>
    <t>Burn, Tribal</t>
  </si>
  <si>
    <t>D20</t>
  </si>
  <si>
    <t>Dr. Eggman</t>
  </si>
  <si>
    <t>D21</t>
  </si>
  <si>
    <t>Krenko, Mob Boss</t>
  </si>
  <si>
    <t>D22</t>
  </si>
  <si>
    <t>High Perfect Morcant</t>
  </si>
  <si>
    <t>D23</t>
  </si>
  <si>
    <t>Prosper, Tome-Bound</t>
  </si>
  <si>
    <t>Exile, Treasure</t>
  </si>
  <si>
    <t>D24</t>
  </si>
  <si>
    <t>Sin, Spira's Punishment</t>
  </si>
  <si>
    <t>Landfall</t>
  </si>
  <si>
    <t>D25</t>
  </si>
  <si>
    <t>Meren of Clan Nel Toth</t>
  </si>
  <si>
    <t>Reanimator</t>
  </si>
  <si>
    <t>D26</t>
  </si>
  <si>
    <t>Vial Smasher the Fierce/Sakashima of a Thousand Faces</t>
  </si>
  <si>
    <t>Chaos, Burn</t>
  </si>
  <si>
    <t>D27</t>
  </si>
  <si>
    <t>Noctis, Prince of Lucis</t>
  </si>
  <si>
    <t>Voltron, Combo</t>
  </si>
  <si>
    <t>D28</t>
  </si>
  <si>
    <t>Tidus, Yuna's Guardian</t>
  </si>
  <si>
    <t>+1/+1 Counters, Proliferate</t>
  </si>
  <si>
    <t>D29</t>
  </si>
  <si>
    <t>Y'shtola, Night's Blessed</t>
  </si>
  <si>
    <t>Lifegain, Burn</t>
  </si>
  <si>
    <t>D30</t>
  </si>
  <si>
    <t>Hearthhull, the Worldseed</t>
  </si>
  <si>
    <t>Land Destruction</t>
  </si>
  <si>
    <t>D31</t>
  </si>
  <si>
    <t>Atraxa, Praetors' Voice</t>
  </si>
  <si>
    <t>+1/+1 Counters, Proliferate, Tribal</t>
  </si>
  <si>
    <t>D32</t>
  </si>
  <si>
    <t>Helga, Skittish Seer</t>
  </si>
  <si>
    <t>+1/+1 Counters, Combo</t>
  </si>
  <si>
    <t>D33</t>
  </si>
  <si>
    <t>D34</t>
  </si>
  <si>
    <t>Miirym, Sentinel Wyrm</t>
  </si>
  <si>
    <t>D35</t>
  </si>
  <si>
    <t>D36</t>
  </si>
  <si>
    <t>Lightning, Army of One</t>
  </si>
  <si>
    <t>Equipment, Aggro</t>
  </si>
  <si>
    <t>D37</t>
  </si>
  <si>
    <t>Eluge, the Shoreless Sea</t>
  </si>
  <si>
    <t>Control</t>
  </si>
  <si>
    <t>D38</t>
  </si>
  <si>
    <t>Ms. Bumbleflower</t>
  </si>
  <si>
    <t>Group Hug</t>
  </si>
  <si>
    <t>D39</t>
  </si>
  <si>
    <t>Noctis, Heir Apparent</t>
  </si>
  <si>
    <t>D40</t>
  </si>
  <si>
    <t>Betor, Ancestor's Voice</t>
  </si>
  <si>
    <t>Cleric Tribal</t>
  </si>
  <si>
    <t>D41</t>
  </si>
  <si>
    <t>Leonardo, The Balance / Donatello, the Brains</t>
  </si>
  <si>
    <t>TMNT</t>
  </si>
  <si>
    <t>GameID</t>
  </si>
  <si>
    <t>Date</t>
  </si>
  <si>
    <t>Location</t>
  </si>
  <si>
    <t>TotalPlayers</t>
  </si>
  <si>
    <t>Notes</t>
  </si>
  <si>
    <t>G001</t>
  </si>
  <si>
    <t>Spelltable</t>
  </si>
  <si>
    <t>G002</t>
  </si>
  <si>
    <t>Quick game to end the night</t>
  </si>
  <si>
    <t>G003</t>
  </si>
  <si>
    <t>G004</t>
  </si>
  <si>
    <t>G005</t>
  </si>
  <si>
    <t>G006</t>
  </si>
  <si>
    <t>G007</t>
  </si>
  <si>
    <t>G008</t>
  </si>
  <si>
    <t>G009</t>
  </si>
  <si>
    <t>SpellTable</t>
  </si>
  <si>
    <t>G010</t>
  </si>
  <si>
    <t>Result</t>
  </si>
  <si>
    <t>WinFlag</t>
  </si>
  <si>
    <t>Loss</t>
  </si>
  <si>
    <t>Win</t>
  </si>
  <si>
    <t>Total Games</t>
  </si>
  <si>
    <t>Wins</t>
  </si>
  <si>
    <t>Losses</t>
  </si>
  <si>
    <t>Win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</si>
</sst>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14" fontId="0" fillId="0" borderId="0" xfId="0" applyNumberFormat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4C1EB-B3A7-4BED-BD5D-53202B37AABB}" name="tblPlayers" displayName="tblPlayers" ref="A1:B8" totalsRowShown="0" headerRowDxfId="23" dataDxfId="22">
  <autoFilter ref="A1:B8" xr:uid="{6D34C1EB-B3A7-4BED-BD5D-53202B37AABB}"/>
  <tableColumns count="2">
    <tableColumn id="1" xr3:uid="{12F317AB-51F1-45A7-ADED-E87A2200364C}" name="PlayerID" dataDxfId="21"/>
    <tableColumn id="2" xr3:uid="{88D5D8C3-E760-4339-B742-29D1D7AE85F1}" name="PlayerNam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A738D-4147-4461-B298-69BEE93B2669}" name="tblDecks" displayName="tblDecks" ref="A1:F42" totalsRowShown="0" headerRowDxfId="19" dataDxfId="18">
  <autoFilter ref="A1:F42" xr:uid="{124A738D-4147-4461-B298-69BEE93B2669}"/>
  <tableColumns count="6">
    <tableColumn id="1" xr3:uid="{A37F2786-4469-4530-B4AF-29BCEDB7309A}" name="DeckID" dataDxfId="17"/>
    <tableColumn id="2" xr3:uid="{F568D9BC-8A66-48EE-B49E-7D58CF2EB57A}" name="PlayerName" dataDxfId="16"/>
    <tableColumn id="3" xr3:uid="{98820B81-A857-455B-8F1B-F1B67D87CC74}" name="Commander" dataDxfId="15"/>
    <tableColumn id="4" xr3:uid="{4F06AA0C-60A1-4886-A43B-7BCA0A8634DF}" name="Theme" dataDxfId="14"/>
    <tableColumn id="5" xr3:uid="{EEB55A92-7875-4505-9C72-7E8BB3618F42}" name="EstPower"/>
    <tableColumn id="6" xr3:uid="{AB3B7E9F-5601-420D-97B2-07DC6E67D6BF}" name="ArchidektID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DB571D-D4CB-4C8E-9C94-24EF902812FC}" name="tblGames" displayName="tblGames" ref="A1:E11" totalsRowShown="0" headerRowDxfId="12">
  <autoFilter ref="A1:E11" xr:uid="{1ADB571D-D4CB-4C8E-9C94-24EF902812FC}"/>
  <tableColumns count="5">
    <tableColumn id="1" xr3:uid="{3F616AF0-E4FB-4BBD-B459-C9A499225CEE}" name="GameID" dataDxfId="11"/>
    <tableColumn id="2" xr3:uid="{9AF8C8E1-5799-4D21-A723-4C96DBB5D897}" name="Date" dataDxfId="10"/>
    <tableColumn id="3" xr3:uid="{B13D620E-EB98-45B7-8ECB-DF8CCA6D1EE8}" name="Location"/>
    <tableColumn id="4" xr3:uid="{49C3414B-2C9D-4C17-9096-AC7D0B18B97E}" name="TotalPlayers"/>
    <tableColumn id="5" xr3:uid="{D059AADB-99FE-4453-A1C8-315D8AAC89AC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DF9500-9C94-4D2F-9FE8-DC3C1ADC86B4}" name="tblGamePlayers" displayName="tblGamePlayers" ref="A1:F41" totalsRowShown="0" headerRowDxfId="9">
  <autoFilter ref="A1:F41" xr:uid="{D7DF9500-9C94-4D2F-9FE8-DC3C1ADC86B4}"/>
  <tableColumns count="6">
    <tableColumn id="1" xr3:uid="{C27C6532-A27F-4D01-B9CF-AE4263247A47}" name="GameID" dataDxfId="8"/>
    <tableColumn id="2" xr3:uid="{E0277092-F71F-48D5-A8AA-C198C9F208AC}" name="PlayerName"/>
    <tableColumn id="3" xr3:uid="{D0A81E19-20E8-49D5-B4C2-62526DCCFC25}" name="DeckID">
      <calculatedColumnFormula array="1">_xlfn.XLOOKUP(1,
   (tblDecks[Commander]=tblGamePlayers[[#This Row],[Commander]])*
   (tblDecks[PlayerName]=tblGamePlayers[[#This Row],[PlayerName]]),
   tblDecks[DeckID],
   ""
)</calculatedColumnFormula>
    </tableColumn>
    <tableColumn id="4" xr3:uid="{B3156F92-AF12-4F21-B8E5-1A9FB10A5629}" name="Commander" dataDxfId="7">
      <calculatedColumnFormula>_xlfn.XLOOKUP(tblGamePlayers[[#This Row],[DeckID]], tblDecks[DeckID], tblDecks[Commander], "")</calculatedColumnFormula>
    </tableColumn>
    <tableColumn id="5" xr3:uid="{72F15DC9-FBE8-498D-862D-5DAB67E25E14}" name="Result"/>
    <tableColumn id="10" xr3:uid="{85B26918-BB79-424B-8DFB-705E67477AF9}" name="Win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75F01C-D714-464A-AC0E-262F0026B0CC}" name="Table6" displayName="Table6" ref="A1:G42" totalsRowShown="0" headerRowDxfId="6">
  <autoFilter ref="A1:G42" xr:uid="{C275F01C-D714-464A-AC0E-262F0026B0CC}"/>
  <tableColumns count="7">
    <tableColumn id="1" xr3:uid="{C933E5F9-F0B5-4154-A1F4-84EC0B10B856}" name="DeckID" dataDxfId="5"/>
    <tableColumn id="2" xr3:uid="{1852B62A-968C-4A7A-8FBB-4242180FE226}" name="Commander" dataDxfId="4">
      <calculatedColumnFormula>_xlfn.XLOOKUP(Table6[[#This Row],[DeckID]], tblDecks[DeckID], tblDecks[Commander], "")</calculatedColumnFormula>
    </tableColumn>
    <tableColumn id="3" xr3:uid="{47AB326A-9A36-4FA8-97D9-70E092F74454}" name="PlayerName" dataDxfId="3">
      <calculatedColumnFormula>_xlfn.XLOOKUP(Table6[[#This Row],[DeckID]], tblDecks[DeckID], tblDecks[PlayerName], "")</calculatedColumnFormula>
    </tableColumn>
    <tableColumn id="4" xr3:uid="{CB156740-E53A-4902-A4BE-ABFE6B13AEA1}" name="Total Games" dataDxfId="2">
      <calculatedColumnFormula>COUNTIF(tblGamePlayers[DeckID],Table6[[#This Row],[DeckID]])</calculatedColumnFormula>
    </tableColumn>
    <tableColumn id="5" xr3:uid="{D0BC7C1B-6547-4010-871C-EADEAE8D80EF}" name="Wins" dataDxfId="1">
      <calculatedColumnFormula>COUNTIFS(tblGamePlayers[DeckID],Table6[[#This Row],[DeckID]], tblGamePlayers[Result],"Win")</calculatedColumnFormula>
    </tableColumn>
    <tableColumn id="6" xr3:uid="{176CC7A4-26D9-4CC2-9EEF-D16F2472E603}" name="Losses" dataDxfId="0">
      <calculatedColumnFormula>COUNTIFS(tblGamePlayers[DeckID],Table6[[#This Row],[DeckID]], tblGamePlayers[Result],"Loss")</calculatedColumnFormula>
    </tableColumn>
    <tableColumn id="7" xr3:uid="{C11561C3-6AF2-47A0-9401-8EFD40DA3546}" name="Win %" dataCellStyle="Percent">
      <calculatedColumnFormula>IF(Table6[[#This Row],[Total Games]]=0,0,Table6[[#This Row],[Wins]]/Table6[[#This Row],[Total Games]])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6B78-A42F-4739-8552-40538FD1898B}">
  <dimension ref="A1:B8"/>
  <sheetViews>
    <sheetView workbookViewId="0">
      <selection activeCell="C12" sqref="C12"/>
    </sheetView>
  </sheetViews>
  <sheetFormatPr defaultRowHeight="15"/>
  <cols>
    <col min="1" max="1" width="10.7109375" customWidth="1"/>
    <col min="2" max="2" width="1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00ED-5CE2-4173-8CC1-6890A7CDF6C4}">
  <dimension ref="A1:F42"/>
  <sheetViews>
    <sheetView tabSelected="1" topLeftCell="A29" workbookViewId="0">
      <selection activeCell="E46" sqref="E46"/>
    </sheetView>
  </sheetViews>
  <sheetFormatPr defaultRowHeight="15"/>
  <cols>
    <col min="1" max="1" width="21.140625" customWidth="1"/>
    <col min="2" max="2" width="25.5703125" customWidth="1"/>
    <col min="3" max="3" width="22.7109375" customWidth="1"/>
    <col min="4" max="4" width="16.85546875" customWidth="1"/>
    <col min="5" max="5" width="23.7109375" customWidth="1"/>
    <col min="6" max="6" width="15.5703125" customWidth="1"/>
  </cols>
  <sheetData>
    <row r="1" spans="1:6" ht="29.25">
      <c r="A1" s="1" t="s">
        <v>16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29.25">
      <c r="A2" s="2" t="s">
        <v>21</v>
      </c>
      <c r="B2" s="2" t="s">
        <v>3</v>
      </c>
      <c r="C2" s="2" t="s">
        <v>22</v>
      </c>
      <c r="D2" s="2" t="s">
        <v>23</v>
      </c>
      <c r="E2" s="2"/>
      <c r="F2" s="2">
        <v>910842</v>
      </c>
    </row>
    <row r="3" spans="1:6">
      <c r="A3" s="2" t="s">
        <v>24</v>
      </c>
      <c r="B3" s="2" t="s">
        <v>3</v>
      </c>
      <c r="C3" s="2" t="s">
        <v>25</v>
      </c>
      <c r="D3" s="2" t="s">
        <v>26</v>
      </c>
      <c r="E3" s="2"/>
      <c r="F3" s="2">
        <v>1153332</v>
      </c>
    </row>
    <row r="4" spans="1:6" ht="29.25">
      <c r="A4" s="2" t="s">
        <v>27</v>
      </c>
      <c r="B4" s="2" t="s">
        <v>3</v>
      </c>
      <c r="C4" s="2" t="s">
        <v>28</v>
      </c>
      <c r="D4" s="2" t="s">
        <v>29</v>
      </c>
      <c r="E4" s="2"/>
      <c r="F4" s="2">
        <v>3678153</v>
      </c>
    </row>
    <row r="5" spans="1:6" ht="29.25">
      <c r="A5" s="2" t="s">
        <v>30</v>
      </c>
      <c r="B5" s="2" t="s">
        <v>3</v>
      </c>
      <c r="C5" s="2" t="s">
        <v>31</v>
      </c>
      <c r="D5" s="2" t="s">
        <v>32</v>
      </c>
      <c r="F5" s="2">
        <v>15801718</v>
      </c>
    </row>
    <row r="6" spans="1:6" ht="29.25">
      <c r="A6" s="2" t="s">
        <v>33</v>
      </c>
      <c r="B6" s="2" t="s">
        <v>3</v>
      </c>
      <c r="C6" s="2" t="s">
        <v>34</v>
      </c>
      <c r="D6" s="2" t="s">
        <v>35</v>
      </c>
      <c r="F6" s="2">
        <v>1998315</v>
      </c>
    </row>
    <row r="7" spans="1:6">
      <c r="A7" s="2" t="s">
        <v>36</v>
      </c>
      <c r="B7" s="2" t="s">
        <v>3</v>
      </c>
      <c r="C7" s="2" t="s">
        <v>37</v>
      </c>
      <c r="D7" s="2" t="s">
        <v>38</v>
      </c>
      <c r="F7" s="2">
        <v>13242129</v>
      </c>
    </row>
    <row r="8" spans="1:6" ht="29.25">
      <c r="A8" s="2" t="s">
        <v>39</v>
      </c>
      <c r="B8" s="2" t="s">
        <v>3</v>
      </c>
      <c r="C8" s="2" t="s">
        <v>40</v>
      </c>
      <c r="D8" s="2" t="s">
        <v>41</v>
      </c>
      <c r="F8" s="2">
        <v>790772</v>
      </c>
    </row>
    <row r="9" spans="1:6" ht="29.25">
      <c r="A9" s="2" t="s">
        <v>42</v>
      </c>
      <c r="B9" s="2" t="s">
        <v>5</v>
      </c>
      <c r="C9" s="2" t="s">
        <v>43</v>
      </c>
      <c r="D9" s="2" t="s">
        <v>44</v>
      </c>
      <c r="F9" s="2">
        <v>5460630</v>
      </c>
    </row>
    <row r="10" spans="1:6">
      <c r="A10" s="2" t="s">
        <v>45</v>
      </c>
      <c r="B10" s="2" t="s">
        <v>5</v>
      </c>
      <c r="C10" s="2" t="s">
        <v>46</v>
      </c>
      <c r="D10" s="2" t="s">
        <v>47</v>
      </c>
      <c r="F10" s="2">
        <v>13705441</v>
      </c>
    </row>
    <row r="11" spans="1:6">
      <c r="A11" s="2" t="s">
        <v>48</v>
      </c>
      <c r="B11" s="2" t="s">
        <v>5</v>
      </c>
      <c r="C11" s="2" t="s">
        <v>49</v>
      </c>
      <c r="D11" s="2" t="s">
        <v>23</v>
      </c>
      <c r="F11" s="2">
        <v>4836919</v>
      </c>
    </row>
    <row r="12" spans="1:6">
      <c r="A12" s="2" t="s">
        <v>50</v>
      </c>
      <c r="B12" s="2" t="s">
        <v>5</v>
      </c>
      <c r="C12" s="2" t="s">
        <v>51</v>
      </c>
      <c r="D12" s="2" t="s">
        <v>52</v>
      </c>
      <c r="F12" s="2">
        <v>13507892</v>
      </c>
    </row>
    <row r="13" spans="1:6">
      <c r="A13" s="2" t="s">
        <v>53</v>
      </c>
      <c r="B13" s="2" t="s">
        <v>5</v>
      </c>
      <c r="C13" s="2" t="s">
        <v>54</v>
      </c>
      <c r="D13" s="2" t="s">
        <v>26</v>
      </c>
      <c r="F13" s="2">
        <v>17569507</v>
      </c>
    </row>
    <row r="14" spans="1:6">
      <c r="A14" s="2" t="s">
        <v>55</v>
      </c>
      <c r="B14" s="2" t="s">
        <v>5</v>
      </c>
      <c r="C14" s="2" t="s">
        <v>56</v>
      </c>
      <c r="D14" s="2" t="s">
        <v>23</v>
      </c>
      <c r="F14" s="2">
        <v>12584437</v>
      </c>
    </row>
    <row r="15" spans="1:6" ht="29.25">
      <c r="A15" s="2" t="s">
        <v>57</v>
      </c>
      <c r="B15" s="2" t="s">
        <v>5</v>
      </c>
      <c r="C15" s="2" t="s">
        <v>58</v>
      </c>
      <c r="D15" s="2" t="s">
        <v>59</v>
      </c>
      <c r="F15" s="2"/>
    </row>
    <row r="16" spans="1:6">
      <c r="A16" s="2" t="s">
        <v>60</v>
      </c>
      <c r="B16" s="2" t="s">
        <v>5</v>
      </c>
      <c r="C16" s="2" t="s">
        <v>61</v>
      </c>
      <c r="D16" s="2" t="s">
        <v>23</v>
      </c>
      <c r="F16" s="2">
        <v>4432770</v>
      </c>
    </row>
    <row r="17" spans="1:6" ht="29.25">
      <c r="A17" s="2" t="s">
        <v>62</v>
      </c>
      <c r="B17" s="2" t="s">
        <v>5</v>
      </c>
      <c r="C17" s="2" t="s">
        <v>63</v>
      </c>
      <c r="D17" s="2" t="s">
        <v>64</v>
      </c>
      <c r="F17" s="2">
        <v>9398410</v>
      </c>
    </row>
    <row r="18" spans="1:6">
      <c r="A18" s="2" t="s">
        <v>65</v>
      </c>
      <c r="B18" s="2" t="s">
        <v>5</v>
      </c>
      <c r="C18" s="2" t="s">
        <v>66</v>
      </c>
      <c r="D18" s="2" t="s">
        <v>67</v>
      </c>
      <c r="F18" s="2">
        <v>1949170</v>
      </c>
    </row>
    <row r="19" spans="1:6" ht="29.25">
      <c r="A19" s="2" t="s">
        <v>68</v>
      </c>
      <c r="B19" s="2" t="s">
        <v>9</v>
      </c>
      <c r="C19" s="2" t="s">
        <v>69</v>
      </c>
      <c r="D19" s="2" t="s">
        <v>23</v>
      </c>
      <c r="F19" s="2">
        <v>4800656</v>
      </c>
    </row>
    <row r="20" spans="1:6" ht="29.25">
      <c r="A20" s="2" t="s">
        <v>70</v>
      </c>
      <c r="B20" s="2" t="s">
        <v>9</v>
      </c>
      <c r="C20" s="2" t="s">
        <v>71</v>
      </c>
      <c r="D20" s="2" t="s">
        <v>72</v>
      </c>
      <c r="F20" s="2">
        <v>13007305</v>
      </c>
    </row>
    <row r="21" spans="1:6">
      <c r="A21" s="2" t="s">
        <v>73</v>
      </c>
      <c r="B21" s="2" t="s">
        <v>9</v>
      </c>
      <c r="C21" s="2" t="s">
        <v>74</v>
      </c>
      <c r="D21" s="2" t="s">
        <v>23</v>
      </c>
      <c r="F21" s="2">
        <v>14544552</v>
      </c>
    </row>
    <row r="22" spans="1:6">
      <c r="A22" s="2" t="s">
        <v>75</v>
      </c>
      <c r="B22" s="2" t="s">
        <v>9</v>
      </c>
      <c r="C22" s="2" t="s">
        <v>76</v>
      </c>
      <c r="D22" s="2" t="s">
        <v>23</v>
      </c>
      <c r="F22" s="2">
        <v>5723022</v>
      </c>
    </row>
    <row r="23" spans="1:6">
      <c r="A23" s="2" t="s">
        <v>77</v>
      </c>
      <c r="B23" s="2" t="s">
        <v>9</v>
      </c>
      <c r="C23" s="2" t="s">
        <v>78</v>
      </c>
      <c r="D23" s="2" t="s">
        <v>23</v>
      </c>
      <c r="F23" s="2">
        <v>19084870</v>
      </c>
    </row>
    <row r="24" spans="1:6">
      <c r="A24" s="2" t="s">
        <v>79</v>
      </c>
      <c r="B24" s="2" t="s">
        <v>9</v>
      </c>
      <c r="C24" s="2" t="s">
        <v>80</v>
      </c>
      <c r="D24" s="2" t="s">
        <v>81</v>
      </c>
      <c r="F24" s="2">
        <v>8853816</v>
      </c>
    </row>
    <row r="25" spans="1:6">
      <c r="A25" s="2" t="s">
        <v>82</v>
      </c>
      <c r="B25" s="2" t="s">
        <v>9</v>
      </c>
      <c r="C25" s="2" t="s">
        <v>83</v>
      </c>
      <c r="D25" s="2" t="s">
        <v>84</v>
      </c>
      <c r="F25" s="2">
        <v>13854019</v>
      </c>
    </row>
    <row r="26" spans="1:6">
      <c r="A26" s="2" t="s">
        <v>85</v>
      </c>
      <c r="B26" s="2" t="s">
        <v>7</v>
      </c>
      <c r="C26" s="2" t="s">
        <v>86</v>
      </c>
      <c r="D26" s="2" t="s">
        <v>87</v>
      </c>
      <c r="F26" s="2">
        <v>4878387</v>
      </c>
    </row>
    <row r="27" spans="1:6" ht="43.5">
      <c r="A27" s="2" t="s">
        <v>88</v>
      </c>
      <c r="B27" s="2" t="s">
        <v>7</v>
      </c>
      <c r="C27" s="2" t="s">
        <v>89</v>
      </c>
      <c r="D27" s="2" t="s">
        <v>90</v>
      </c>
      <c r="F27" s="2">
        <v>4736952</v>
      </c>
    </row>
    <row r="28" spans="1:6">
      <c r="A28" s="2" t="s">
        <v>91</v>
      </c>
      <c r="B28" s="2" t="s">
        <v>7</v>
      </c>
      <c r="C28" s="2" t="s">
        <v>92</v>
      </c>
      <c r="D28" s="2" t="s">
        <v>93</v>
      </c>
      <c r="F28" s="2">
        <v>13449692</v>
      </c>
    </row>
    <row r="29" spans="1:6" ht="29.25">
      <c r="A29" s="2" t="s">
        <v>94</v>
      </c>
      <c r="B29" s="2" t="s">
        <v>7</v>
      </c>
      <c r="C29" s="2" t="s">
        <v>95</v>
      </c>
      <c r="D29" s="3" t="s">
        <v>96</v>
      </c>
      <c r="F29" s="2">
        <v>13598359</v>
      </c>
    </row>
    <row r="30" spans="1:6">
      <c r="A30" s="2" t="s">
        <v>97</v>
      </c>
      <c r="B30" s="2" t="s">
        <v>7</v>
      </c>
      <c r="C30" s="2" t="s">
        <v>98</v>
      </c>
      <c r="D30" s="2" t="s">
        <v>99</v>
      </c>
      <c r="F30" s="2">
        <v>13598824</v>
      </c>
    </row>
    <row r="31" spans="1:6" ht="29.25">
      <c r="A31" s="2" t="s">
        <v>100</v>
      </c>
      <c r="B31" s="2" t="s">
        <v>7</v>
      </c>
      <c r="C31" s="2" t="s">
        <v>101</v>
      </c>
      <c r="D31" s="2" t="s">
        <v>102</v>
      </c>
      <c r="F31" s="2">
        <v>14429922</v>
      </c>
    </row>
    <row r="32" spans="1:6" ht="29.25">
      <c r="A32" s="2" t="s">
        <v>103</v>
      </c>
      <c r="B32" s="2" t="s">
        <v>11</v>
      </c>
      <c r="C32" s="2" t="s">
        <v>104</v>
      </c>
      <c r="D32" s="3" t="s">
        <v>105</v>
      </c>
      <c r="F32" s="2"/>
    </row>
    <row r="33" spans="1:6" ht="29.25">
      <c r="A33" s="2" t="s">
        <v>106</v>
      </c>
      <c r="B33" s="2" t="s">
        <v>11</v>
      </c>
      <c r="C33" s="2" t="s">
        <v>107</v>
      </c>
      <c r="D33" s="3" t="s">
        <v>108</v>
      </c>
      <c r="F33" s="2"/>
    </row>
    <row r="34" spans="1:6" ht="29.25">
      <c r="A34" s="2" t="s">
        <v>109</v>
      </c>
      <c r="B34" s="2" t="s">
        <v>11</v>
      </c>
      <c r="C34" s="2" t="s">
        <v>58</v>
      </c>
      <c r="D34" s="2" t="s">
        <v>59</v>
      </c>
      <c r="F34" s="2"/>
    </row>
    <row r="35" spans="1:6">
      <c r="A35" s="2" t="s">
        <v>110</v>
      </c>
      <c r="B35" s="2" t="s">
        <v>11</v>
      </c>
      <c r="C35" s="2" t="s">
        <v>111</v>
      </c>
      <c r="D35" s="2" t="s">
        <v>23</v>
      </c>
      <c r="F35" s="2"/>
    </row>
    <row r="36" spans="1:6" ht="29.25">
      <c r="A36" s="2" t="s">
        <v>112</v>
      </c>
      <c r="B36" s="2" t="s">
        <v>13</v>
      </c>
      <c r="C36" s="2" t="s">
        <v>95</v>
      </c>
      <c r="D36" s="3" t="s">
        <v>96</v>
      </c>
      <c r="F36" s="2">
        <v>13820976</v>
      </c>
    </row>
    <row r="37" spans="1:6">
      <c r="A37" s="2" t="s">
        <v>113</v>
      </c>
      <c r="B37" s="2" t="s">
        <v>13</v>
      </c>
      <c r="C37" s="2" t="s">
        <v>114</v>
      </c>
      <c r="D37" s="2" t="s">
        <v>115</v>
      </c>
      <c r="F37" s="2">
        <v>13708406</v>
      </c>
    </row>
    <row r="38" spans="1:6">
      <c r="A38" s="2" t="s">
        <v>116</v>
      </c>
      <c r="B38" s="2" t="s">
        <v>15</v>
      </c>
      <c r="C38" s="2" t="s">
        <v>117</v>
      </c>
      <c r="D38" s="2" t="s">
        <v>118</v>
      </c>
      <c r="F38" s="2"/>
    </row>
    <row r="39" spans="1:6">
      <c r="A39" s="2" t="s">
        <v>119</v>
      </c>
      <c r="B39" s="2" t="s">
        <v>15</v>
      </c>
      <c r="C39" s="2" t="s">
        <v>120</v>
      </c>
      <c r="D39" s="2" t="s">
        <v>121</v>
      </c>
      <c r="F39" s="2"/>
    </row>
    <row r="40" spans="1:6">
      <c r="A40" s="2" t="s">
        <v>122</v>
      </c>
      <c r="B40" s="2" t="s">
        <v>13</v>
      </c>
      <c r="C40" s="2" t="s">
        <v>123</v>
      </c>
      <c r="D40" s="2" t="s">
        <v>52</v>
      </c>
      <c r="F40" s="2">
        <v>19781450</v>
      </c>
    </row>
    <row r="41" spans="1:6">
      <c r="A41" s="2" t="s">
        <v>124</v>
      </c>
      <c r="B41" s="2" t="s">
        <v>3</v>
      </c>
      <c r="C41" s="2" t="s">
        <v>125</v>
      </c>
      <c r="D41" s="2" t="s">
        <v>126</v>
      </c>
      <c r="F41" s="2">
        <v>18183110</v>
      </c>
    </row>
    <row r="42" spans="1:6" ht="29.25">
      <c r="A42" s="2" t="s">
        <v>127</v>
      </c>
      <c r="B42" s="2" t="s">
        <v>9</v>
      </c>
      <c r="C42" s="2" t="s">
        <v>128</v>
      </c>
      <c r="D42" s="2" t="s">
        <v>129</v>
      </c>
      <c r="F42" s="2">
        <v>20391846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3DA2-4E88-40A0-A474-F04E2F001FAF}">
  <dimension ref="A1:E11"/>
  <sheetViews>
    <sheetView workbookViewId="0">
      <selection activeCell="D11" sqref="D11"/>
    </sheetView>
  </sheetViews>
  <sheetFormatPr defaultRowHeight="15"/>
  <cols>
    <col min="1" max="1" width="10.42578125" customWidth="1"/>
    <col min="2" max="2" width="9.42578125" bestFit="1" customWidth="1"/>
    <col min="3" max="3" width="10.85546875" customWidth="1"/>
    <col min="4" max="4" width="14.140625" customWidth="1"/>
    <col min="5" max="5" width="25.85546875" bestFit="1" customWidth="1"/>
  </cols>
  <sheetData>
    <row r="1" spans="1:5" ht="30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</row>
    <row r="2" spans="1:5" ht="30">
      <c r="A2" s="2" t="s">
        <v>135</v>
      </c>
      <c r="B2" s="4">
        <v>46071</v>
      </c>
      <c r="C2" s="2" t="s">
        <v>136</v>
      </c>
      <c r="D2" s="2">
        <v>4</v>
      </c>
      <c r="E2" s="2"/>
    </row>
    <row r="3" spans="1:5">
      <c r="A3" s="2" t="s">
        <v>137</v>
      </c>
      <c r="B3" s="4">
        <v>46071</v>
      </c>
      <c r="C3" t="s">
        <v>136</v>
      </c>
      <c r="D3">
        <v>4</v>
      </c>
      <c r="E3" t="s">
        <v>138</v>
      </c>
    </row>
    <row r="4" spans="1:5">
      <c r="A4" s="2" t="s">
        <v>139</v>
      </c>
      <c r="B4" s="4">
        <v>46072</v>
      </c>
      <c r="C4" t="s">
        <v>136</v>
      </c>
      <c r="D4">
        <v>4</v>
      </c>
    </row>
    <row r="5" spans="1:5">
      <c r="A5" s="2" t="s">
        <v>140</v>
      </c>
      <c r="B5" s="4">
        <v>46072</v>
      </c>
      <c r="C5" t="s">
        <v>136</v>
      </c>
      <c r="D5">
        <v>4</v>
      </c>
    </row>
    <row r="6" spans="1:5">
      <c r="A6" s="2" t="s">
        <v>141</v>
      </c>
      <c r="B6" s="4">
        <v>46072</v>
      </c>
      <c r="C6" t="s">
        <v>136</v>
      </c>
      <c r="D6">
        <v>4</v>
      </c>
    </row>
    <row r="7" spans="1:5">
      <c r="A7" s="2" t="s">
        <v>142</v>
      </c>
      <c r="B7" s="4">
        <v>46075</v>
      </c>
      <c r="C7" t="s">
        <v>136</v>
      </c>
      <c r="D7">
        <v>4</v>
      </c>
    </row>
    <row r="8" spans="1:5">
      <c r="A8" s="2" t="s">
        <v>143</v>
      </c>
      <c r="B8" s="4">
        <v>46075</v>
      </c>
      <c r="C8" t="s">
        <v>136</v>
      </c>
      <c r="D8">
        <v>4</v>
      </c>
    </row>
    <row r="9" spans="1:5">
      <c r="A9" s="2" t="s">
        <v>144</v>
      </c>
      <c r="B9" s="4">
        <v>46075</v>
      </c>
      <c r="C9" t="s">
        <v>136</v>
      </c>
      <c r="D9">
        <v>4</v>
      </c>
    </row>
    <row r="10" spans="1:5">
      <c r="A10" s="2" t="s">
        <v>145</v>
      </c>
      <c r="B10" s="4">
        <v>46085</v>
      </c>
      <c r="C10" t="s">
        <v>146</v>
      </c>
      <c r="D10">
        <v>4</v>
      </c>
    </row>
    <row r="11" spans="1:5">
      <c r="A11" s="2" t="s">
        <v>147</v>
      </c>
      <c r="B11" s="4">
        <v>46085</v>
      </c>
      <c r="C11" t="s">
        <v>136</v>
      </c>
      <c r="D11">
        <v>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77E3-1F91-4E2B-8B00-0170C6CF2EFB}">
  <dimension ref="A1:F41"/>
  <sheetViews>
    <sheetView topLeftCell="A29" workbookViewId="0">
      <selection activeCell="I29" sqref="I29"/>
    </sheetView>
  </sheetViews>
  <sheetFormatPr defaultRowHeight="15"/>
  <cols>
    <col min="1" max="1" width="10.42578125" customWidth="1"/>
    <col min="2" max="2" width="14" customWidth="1"/>
    <col min="3" max="3" width="12.140625" bestFit="1" customWidth="1"/>
    <col min="4" max="4" width="48.7109375" bestFit="1" customWidth="1"/>
    <col min="6" max="6" width="10.28515625" customWidth="1"/>
  </cols>
  <sheetData>
    <row r="1" spans="1:6">
      <c r="A1" s="1" t="s">
        <v>130</v>
      </c>
      <c r="B1" s="1" t="s">
        <v>1</v>
      </c>
      <c r="C1" s="1" t="s">
        <v>16</v>
      </c>
      <c r="D1" s="1" t="s">
        <v>17</v>
      </c>
      <c r="E1" s="1" t="s">
        <v>148</v>
      </c>
      <c r="F1" s="1" t="s">
        <v>149</v>
      </c>
    </row>
    <row r="2" spans="1:6">
      <c r="A2" s="2" t="s">
        <v>135</v>
      </c>
      <c r="B2" s="2" t="s">
        <v>3</v>
      </c>
      <c r="C2" s="2" t="str" cm="1">
        <f t="array" ref="C2">_xlfn.XLOOKUP(1,
   (tblDecks[Commander]=tblGamePlayers[[#This Row],[Commander]])*
   (tblDecks[PlayerName]=tblGamePlayers[[#This Row],[PlayerName]]),
   tblDecks[DeckID],
   ""
)</f>
        <v>D6</v>
      </c>
      <c r="D2" s="2" t="s">
        <v>37</v>
      </c>
      <c r="E2" s="2" t="s">
        <v>150</v>
      </c>
      <c r="F2" s="2">
        <f>IF(tblGamePlayers[[#This Row],[Result]]="Win",1,0)</f>
        <v>0</v>
      </c>
    </row>
    <row r="3" spans="1:6">
      <c r="A3" s="2" t="s">
        <v>135</v>
      </c>
      <c r="B3" s="2" t="s">
        <v>11</v>
      </c>
      <c r="C3" s="2" t="str" cm="1">
        <f t="array" ref="C3">_xlfn.XLOOKUP(1,
   (tblDecks[Commander]=tblGamePlayers[[#This Row],[Commander]])*
   (tblDecks[PlayerName]=tblGamePlayers[[#This Row],[PlayerName]]),
   tblDecks[DeckID],
   ""
)</f>
        <v>D31</v>
      </c>
      <c r="D3" s="2" t="s">
        <v>104</v>
      </c>
      <c r="E3" s="2" t="s">
        <v>150</v>
      </c>
      <c r="F3" s="2">
        <f>IF(tblGamePlayers[[#This Row],[Result]]="Win",1,0)</f>
        <v>0</v>
      </c>
    </row>
    <row r="4" spans="1:6">
      <c r="A4" s="2" t="s">
        <v>135</v>
      </c>
      <c r="B4" s="2" t="s">
        <v>9</v>
      </c>
      <c r="C4" s="2" t="str" cm="1">
        <f t="array" ref="C4">_xlfn.XLOOKUP(1,
   (tblDecks[Commander]=tblGamePlayers[[#This Row],[Commander]])*
   (tblDecks[PlayerName]=tblGamePlayers[[#This Row],[PlayerName]]),
   tblDecks[DeckID],
   ""
)</f>
        <v>D18</v>
      </c>
      <c r="D4" t="s">
        <v>69</v>
      </c>
      <c r="E4" t="s">
        <v>151</v>
      </c>
      <c r="F4" s="2">
        <f>IF(tblGamePlayers[[#This Row],[Result]]="Win",1,0)</f>
        <v>1</v>
      </c>
    </row>
    <row r="5" spans="1:6">
      <c r="A5" s="2" t="s">
        <v>135</v>
      </c>
      <c r="B5" s="2" t="s">
        <v>5</v>
      </c>
      <c r="C5" s="2" t="str" cm="1">
        <f t="array" ref="C5">_xlfn.XLOOKUP(1,
   (tblDecks[Commander]=tblGamePlayers[[#This Row],[Commander]])*
   (tblDecks[PlayerName]=tblGamePlayers[[#This Row],[PlayerName]]),
   tblDecks[DeckID],
   ""
)</f>
        <v>D8</v>
      </c>
      <c r="D5" t="s">
        <v>43</v>
      </c>
      <c r="E5" t="s">
        <v>150</v>
      </c>
      <c r="F5" s="2">
        <f>IF(tblGamePlayers[[#This Row],[Result]]="Win",1,0)</f>
        <v>0</v>
      </c>
    </row>
    <row r="6" spans="1:6">
      <c r="A6" s="2" t="s">
        <v>137</v>
      </c>
      <c r="B6" s="2" t="s">
        <v>3</v>
      </c>
      <c r="C6" s="2" t="str" cm="1">
        <f t="array" ref="C6">_xlfn.XLOOKUP(1,
   (tblDecks[Commander]=tblGamePlayers[[#This Row],[Commander]])*
   (tblDecks[PlayerName]=tblGamePlayers[[#This Row],[PlayerName]]),
   tblDecks[DeckID],
   ""
)</f>
        <v>D1</v>
      </c>
      <c r="D6" t="s">
        <v>22</v>
      </c>
      <c r="E6" t="s">
        <v>150</v>
      </c>
      <c r="F6" s="2">
        <f>IF(tblGamePlayers[[#This Row],[Result]]="Win",1,0)</f>
        <v>0</v>
      </c>
    </row>
    <row r="7" spans="1:6">
      <c r="A7" s="2" t="s">
        <v>137</v>
      </c>
      <c r="B7" s="2" t="s">
        <v>11</v>
      </c>
      <c r="C7" s="2" t="str" cm="1">
        <f t="array" ref="C7">_xlfn.XLOOKUP(1,
   (tblDecks[Commander]=tblGamePlayers[[#This Row],[Commander]])*
   (tblDecks[PlayerName]=tblGamePlayers[[#This Row],[PlayerName]]),
   tblDecks[DeckID],
   ""
)</f>
        <v>D32</v>
      </c>
      <c r="D7" t="s">
        <v>107</v>
      </c>
      <c r="E7" t="s">
        <v>150</v>
      </c>
      <c r="F7" s="2">
        <f>IF(tblGamePlayers[[#This Row],[Result]]="Win",1,0)</f>
        <v>0</v>
      </c>
    </row>
    <row r="8" spans="1:6">
      <c r="A8" s="2" t="s">
        <v>137</v>
      </c>
      <c r="B8" s="2" t="s">
        <v>9</v>
      </c>
      <c r="C8" s="2" t="str" cm="1">
        <f t="array" ref="C8">_xlfn.XLOOKUP(1,
   (tblDecks[Commander]=tblGamePlayers[[#This Row],[Commander]])*
   (tblDecks[PlayerName]=tblGamePlayers[[#This Row],[PlayerName]]),
   tblDecks[DeckID],
   ""
)</f>
        <v>D21</v>
      </c>
      <c r="D8" t="s">
        <v>76</v>
      </c>
      <c r="E8" t="s">
        <v>150</v>
      </c>
      <c r="F8" s="2">
        <f>IF(tblGamePlayers[[#This Row],[Result]]="Win",1,0)</f>
        <v>0</v>
      </c>
    </row>
    <row r="9" spans="1:6">
      <c r="A9" s="2" t="s">
        <v>137</v>
      </c>
      <c r="B9" s="2" t="s">
        <v>5</v>
      </c>
      <c r="C9" s="2" t="str" cm="1">
        <f t="array" ref="C9">_xlfn.XLOOKUP(1,
   (tblDecks[Commander]=tblGamePlayers[[#This Row],[Commander]])*
   (tblDecks[PlayerName]=tblGamePlayers[[#This Row],[PlayerName]]),
   tblDecks[DeckID],
   ""
)</f>
        <v>D17</v>
      </c>
      <c r="D9" t="s">
        <v>66</v>
      </c>
      <c r="E9" t="s">
        <v>151</v>
      </c>
      <c r="F9" s="2">
        <f>IF(tblGamePlayers[[#This Row],[Result]]="Win",1,0)</f>
        <v>1</v>
      </c>
    </row>
    <row r="10" spans="1:6">
      <c r="A10" s="2" t="s">
        <v>139</v>
      </c>
      <c r="B10" t="s">
        <v>5</v>
      </c>
      <c r="C10" t="str" cm="1">
        <f t="array" ref="C10">_xlfn.XLOOKUP(1,
   (tblDecks[Commander]=tblGamePlayers[[#This Row],[Commander]])*
   (tblDecks[PlayerName]=tblGamePlayers[[#This Row],[PlayerName]]),
   tblDecks[DeckID],
   ""
)</f>
        <v>D16</v>
      </c>
      <c r="D10" s="7" t="s">
        <v>63</v>
      </c>
      <c r="E10" t="s">
        <v>151</v>
      </c>
      <c r="F10" s="2">
        <f>IF(tblGamePlayers[[#This Row],[Result]]="Win",1,0)</f>
        <v>1</v>
      </c>
    </row>
    <row r="11" spans="1:6">
      <c r="A11" s="2" t="s">
        <v>139</v>
      </c>
      <c r="B11" t="s">
        <v>13</v>
      </c>
      <c r="C11" t="str" cm="1">
        <f t="array" ref="C11">_xlfn.XLOOKUP(1,
   (tblDecks[Commander]=tblGamePlayers[[#This Row],[Commander]])*
   (tblDecks[PlayerName]=tblGamePlayers[[#This Row],[PlayerName]]),
   tblDecks[DeckID],
   ""
)</f>
        <v>D39</v>
      </c>
      <c r="D11" s="7" t="s">
        <v>123</v>
      </c>
      <c r="E11" t="s">
        <v>150</v>
      </c>
      <c r="F11" s="2">
        <f>IF(tblGamePlayers[[#This Row],[Result]]="Win",1,0)</f>
        <v>0</v>
      </c>
    </row>
    <row r="12" spans="1:6">
      <c r="A12" s="2" t="s">
        <v>139</v>
      </c>
      <c r="B12" t="s">
        <v>7</v>
      </c>
      <c r="C12" t="str" cm="1">
        <f t="array" ref="C12">_xlfn.XLOOKUP(1,
   (tblDecks[Commander]=tblGamePlayers[[#This Row],[Commander]])*
   (tblDecks[PlayerName]=tblGamePlayers[[#This Row],[PlayerName]]),
   tblDecks[DeckID],
   ""
)</f>
        <v>D30</v>
      </c>
      <c r="D12" s="7" t="s">
        <v>101</v>
      </c>
      <c r="E12" t="s">
        <v>150</v>
      </c>
      <c r="F12" s="2">
        <f>IF(tblGamePlayers[[#This Row],[Result]]="Win",1,0)</f>
        <v>0</v>
      </c>
    </row>
    <row r="13" spans="1:6">
      <c r="A13" s="2" t="s">
        <v>139</v>
      </c>
      <c r="B13" t="s">
        <v>9</v>
      </c>
      <c r="C13" t="str" cm="1">
        <f t="array" ref="C13">_xlfn.XLOOKUP(1,
   (tblDecks[Commander]=tblGamePlayers[[#This Row],[Commander]])*
   (tblDecks[PlayerName]=tblGamePlayers[[#This Row],[PlayerName]]),
   tblDecks[DeckID],
   ""
)</f>
        <v>D23</v>
      </c>
      <c r="D13" s="7" t="s">
        <v>80</v>
      </c>
      <c r="E13" t="s">
        <v>150</v>
      </c>
      <c r="F13" s="2">
        <f>IF(tblGamePlayers[[#This Row],[Result]]="Win",1,0)</f>
        <v>0</v>
      </c>
    </row>
    <row r="14" spans="1:6">
      <c r="A14" s="2" t="s">
        <v>140</v>
      </c>
      <c r="B14" t="s">
        <v>9</v>
      </c>
      <c r="C14" t="str" cm="1">
        <f t="array" ref="C14">_xlfn.XLOOKUP(1,
   (tblDecks[Commander]=tblGamePlayers[[#This Row],[Commander]])*
   (tblDecks[PlayerName]=tblGamePlayers[[#This Row],[PlayerName]]),
   tblDecks[DeckID],
   ""
)</f>
        <v>D20</v>
      </c>
      <c r="D14" s="7" t="s">
        <v>74</v>
      </c>
      <c r="E14" t="s">
        <v>150</v>
      </c>
      <c r="F14" s="2">
        <f>IF(tblGamePlayers[[#This Row],[Result]]="Win",1,0)</f>
        <v>0</v>
      </c>
    </row>
    <row r="15" spans="1:6">
      <c r="A15" s="2" t="s">
        <v>140</v>
      </c>
      <c r="B15" t="s">
        <v>7</v>
      </c>
      <c r="C15" t="str" cm="1">
        <f t="array" ref="C15">_xlfn.XLOOKUP(1,
   (tblDecks[Commander]=tblGamePlayers[[#This Row],[Commander]])*
   (tblDecks[PlayerName]=tblGamePlayers[[#This Row],[PlayerName]]),
   tblDecks[DeckID],
   ""
)</f>
        <v>D30</v>
      </c>
      <c r="D15" s="7" t="s">
        <v>101</v>
      </c>
      <c r="E15" t="s">
        <v>151</v>
      </c>
      <c r="F15" s="2">
        <f>IF(tblGamePlayers[[#This Row],[Result]]="Win",1,0)</f>
        <v>1</v>
      </c>
    </row>
    <row r="16" spans="1:6">
      <c r="A16" s="2" t="s">
        <v>140</v>
      </c>
      <c r="B16" t="s">
        <v>13</v>
      </c>
      <c r="C16" t="str" cm="1">
        <f t="array" ref="C16">_xlfn.XLOOKUP(1,
   (tblDecks[Commander]=tblGamePlayers[[#This Row],[Commander]])*
   (tblDecks[PlayerName]=tblGamePlayers[[#This Row],[PlayerName]]),
   tblDecks[DeckID],
   ""
)</f>
        <v>D39</v>
      </c>
      <c r="D16" s="7" t="s">
        <v>123</v>
      </c>
      <c r="E16" t="s">
        <v>150</v>
      </c>
      <c r="F16" s="2">
        <f>IF(tblGamePlayers[[#This Row],[Result]]="Win",1,0)</f>
        <v>0</v>
      </c>
    </row>
    <row r="17" spans="1:6">
      <c r="A17" s="2" t="s">
        <v>140</v>
      </c>
      <c r="B17" t="s">
        <v>11</v>
      </c>
      <c r="C17" t="str" cm="1">
        <f t="array" ref="C17">_xlfn.XLOOKUP(1,
   (tblDecks[Commander]=tblGamePlayers[[#This Row],[Commander]])*
   (tblDecks[PlayerName]=tblGamePlayers[[#This Row],[PlayerName]]),
   tblDecks[DeckID],
   ""
)</f>
        <v>D31</v>
      </c>
      <c r="D17" s="7" t="s">
        <v>104</v>
      </c>
      <c r="E17" t="s">
        <v>150</v>
      </c>
      <c r="F17" s="2">
        <f>IF(tblGamePlayers[[#This Row],[Result]]="Win",1,0)</f>
        <v>0</v>
      </c>
    </row>
    <row r="18" spans="1:6">
      <c r="A18" s="2" t="s">
        <v>141</v>
      </c>
      <c r="B18" t="s">
        <v>7</v>
      </c>
      <c r="C18" t="str" cm="1">
        <f t="array" ref="C18">_xlfn.XLOOKUP(1,
   (tblDecks[Commander]=tblGamePlayers[[#This Row],[Commander]])*
   (tblDecks[PlayerName]=tblGamePlayers[[#This Row],[PlayerName]]),
   tblDecks[DeckID],
   ""
)</f>
        <v>D26</v>
      </c>
      <c r="D18" s="7" t="s">
        <v>89</v>
      </c>
      <c r="E18" t="s">
        <v>151</v>
      </c>
      <c r="F18" s="2">
        <f>IF(tblGamePlayers[[#This Row],[Result]]="Win",1,0)</f>
        <v>1</v>
      </c>
    </row>
    <row r="19" spans="1:6">
      <c r="A19" s="2" t="s">
        <v>141</v>
      </c>
      <c r="B19" t="s">
        <v>9</v>
      </c>
      <c r="C19" t="str" cm="1">
        <f t="array" ref="C19">_xlfn.XLOOKUP(1,
   (tblDecks[Commander]=tblGamePlayers[[#This Row],[Commander]])*
   (tblDecks[PlayerName]=tblGamePlayers[[#This Row],[PlayerName]]),
   tblDecks[DeckID],
   ""
)</f>
        <v>D19</v>
      </c>
      <c r="D19" s="7" t="s">
        <v>71</v>
      </c>
      <c r="E19" t="s">
        <v>150</v>
      </c>
      <c r="F19" s="2">
        <f>IF(tblGamePlayers[[#This Row],[Result]]="Win",1,0)</f>
        <v>0</v>
      </c>
    </row>
    <row r="20" spans="1:6">
      <c r="A20" s="2" t="s">
        <v>141</v>
      </c>
      <c r="B20" t="s">
        <v>13</v>
      </c>
      <c r="C20" t="str" cm="1">
        <f t="array" ref="C20">_xlfn.XLOOKUP(1,
   (tblDecks[Commander]=tblGamePlayers[[#This Row],[Commander]])*
   (tblDecks[PlayerName]=tblGamePlayers[[#This Row],[PlayerName]]),
   tblDecks[DeckID],
   ""
)</f>
        <v>D39</v>
      </c>
      <c r="D20" s="7" t="s">
        <v>123</v>
      </c>
      <c r="E20" t="s">
        <v>150</v>
      </c>
      <c r="F20" s="2">
        <f>IF(tblGamePlayers[[#This Row],[Result]]="Win",1,0)</f>
        <v>0</v>
      </c>
    </row>
    <row r="21" spans="1:6">
      <c r="A21" s="2" t="s">
        <v>141</v>
      </c>
      <c r="B21" t="s">
        <v>11</v>
      </c>
      <c r="C21" t="str" cm="1">
        <f t="array" ref="C21">_xlfn.XLOOKUP(1,
   (tblDecks[Commander]=tblGamePlayers[[#This Row],[Commander]])*
   (tblDecks[PlayerName]=tblGamePlayers[[#This Row],[PlayerName]]),
   tblDecks[DeckID],
   ""
)</f>
        <v>D33</v>
      </c>
      <c r="D21" s="7" t="s">
        <v>58</v>
      </c>
      <c r="E21" t="s">
        <v>150</v>
      </c>
      <c r="F21" s="2">
        <f>IF(tblGamePlayers[[#This Row],[Result]]="Win",1,0)</f>
        <v>0</v>
      </c>
    </row>
    <row r="22" spans="1:6">
      <c r="A22" s="2" t="s">
        <v>142</v>
      </c>
      <c r="B22" t="s">
        <v>3</v>
      </c>
      <c r="C22" t="str" cm="1">
        <f t="array" ref="C22">_xlfn.XLOOKUP(1,
   (tblDecks[Commander]=tblGamePlayers[[#This Row],[Commander]])*
   (tblDecks[PlayerName]=tblGamePlayers[[#This Row],[PlayerName]]),
   tblDecks[DeckID],
   ""
)</f>
        <v>D5</v>
      </c>
      <c r="D22" s="7" t="s">
        <v>34</v>
      </c>
      <c r="E22" t="s">
        <v>150</v>
      </c>
      <c r="F22" s="2">
        <f>IF(tblGamePlayers[[#This Row],[Result]]="Win",1,0)</f>
        <v>0</v>
      </c>
    </row>
    <row r="23" spans="1:6">
      <c r="A23" s="2" t="s">
        <v>142</v>
      </c>
      <c r="B23" t="s">
        <v>5</v>
      </c>
      <c r="C23" t="str" cm="1">
        <f t="array" ref="C23">_xlfn.XLOOKUP(1,
   (tblDecks[Commander]=tblGamePlayers[[#This Row],[Commander]])*
   (tblDecks[PlayerName]=tblGamePlayers[[#This Row],[PlayerName]]),
   tblDecks[DeckID],
   ""
)</f>
        <v>D12</v>
      </c>
      <c r="D23" s="7" t="s">
        <v>54</v>
      </c>
      <c r="E23" t="s">
        <v>151</v>
      </c>
      <c r="F23" s="2">
        <f>IF(tblGamePlayers[[#This Row],[Result]]="Win",1,0)</f>
        <v>1</v>
      </c>
    </row>
    <row r="24" spans="1:6">
      <c r="A24" s="2" t="s">
        <v>142</v>
      </c>
      <c r="B24" t="s">
        <v>11</v>
      </c>
      <c r="C24" t="str" cm="1">
        <f t="array" ref="C24">_xlfn.XLOOKUP(1,
   (tblDecks[Commander]=tblGamePlayers[[#This Row],[Commander]])*
   (tblDecks[PlayerName]=tblGamePlayers[[#This Row],[PlayerName]]),
   tblDecks[DeckID],
   ""
)</f>
        <v>D31</v>
      </c>
      <c r="D24" s="7" t="s">
        <v>104</v>
      </c>
      <c r="E24" t="s">
        <v>150</v>
      </c>
      <c r="F24" s="2">
        <f>IF(tblGamePlayers[[#This Row],[Result]]="Win",1,0)</f>
        <v>0</v>
      </c>
    </row>
    <row r="25" spans="1:6">
      <c r="A25" s="2" t="s">
        <v>142</v>
      </c>
      <c r="B25" t="s">
        <v>9</v>
      </c>
      <c r="C25" t="str" cm="1">
        <f t="array" ref="C25">_xlfn.XLOOKUP(1,
   (tblDecks[Commander]=tblGamePlayers[[#This Row],[Commander]])*
   (tblDecks[PlayerName]=tblGamePlayers[[#This Row],[PlayerName]]),
   tblDecks[DeckID],
   ""
)</f>
        <v>D24</v>
      </c>
      <c r="D25" s="7" t="s">
        <v>83</v>
      </c>
      <c r="E25" t="s">
        <v>150</v>
      </c>
      <c r="F25" s="2">
        <f>IF(tblGamePlayers[[#This Row],[Result]]="Win",1,0)</f>
        <v>0</v>
      </c>
    </row>
    <row r="26" spans="1:6">
      <c r="A26" s="2" t="s">
        <v>143</v>
      </c>
      <c r="B26" t="s">
        <v>3</v>
      </c>
      <c r="C26" t="str" cm="1">
        <f t="array" ref="C26">_xlfn.XLOOKUP(1,
   (tblDecks[Commander]=tblGamePlayers[[#This Row],[Commander]])*
   (tblDecks[PlayerName]=tblGamePlayers[[#This Row],[PlayerName]]),
   tblDecks[DeckID],
   ""
)</f>
        <v>D4</v>
      </c>
      <c r="D26" s="7" t="s">
        <v>31</v>
      </c>
      <c r="E26" t="s">
        <v>151</v>
      </c>
      <c r="F26" s="2">
        <f>IF(tblGamePlayers[[#This Row],[Result]]="Win",1,0)</f>
        <v>1</v>
      </c>
    </row>
    <row r="27" spans="1:6">
      <c r="A27" s="2" t="s">
        <v>143</v>
      </c>
      <c r="B27" t="s">
        <v>9</v>
      </c>
      <c r="C27" t="str" cm="1">
        <f t="array" ref="C27">_xlfn.XLOOKUP(1,
   (tblDecks[Commander]=tblGamePlayers[[#This Row],[Commander]])*
   (tblDecks[PlayerName]=tblGamePlayers[[#This Row],[PlayerName]]),
   tblDecks[DeckID],
   ""
)</f>
        <v>D22</v>
      </c>
      <c r="D27" s="7" t="s">
        <v>78</v>
      </c>
      <c r="E27" t="s">
        <v>150</v>
      </c>
      <c r="F27" s="2">
        <f>IF(tblGamePlayers[[#This Row],[Result]]="Win",1,0)</f>
        <v>0</v>
      </c>
    </row>
    <row r="28" spans="1:6">
      <c r="A28" s="2" t="s">
        <v>143</v>
      </c>
      <c r="B28" t="s">
        <v>13</v>
      </c>
      <c r="C28" t="str" cm="1">
        <f t="array" ref="C28">_xlfn.XLOOKUP(1,
   (tblDecks[Commander]=tblGamePlayers[[#This Row],[Commander]])*
   (tblDecks[PlayerName]=tblGamePlayers[[#This Row],[PlayerName]]),
   tblDecks[DeckID],
   ""
)</f>
        <v>D39</v>
      </c>
      <c r="D28" s="7" t="s">
        <v>123</v>
      </c>
      <c r="E28" t="s">
        <v>150</v>
      </c>
      <c r="F28" s="2">
        <f>IF(tblGamePlayers[[#This Row],[Result]]="Win",1,0)</f>
        <v>0</v>
      </c>
    </row>
    <row r="29" spans="1:6">
      <c r="A29" s="2" t="s">
        <v>143</v>
      </c>
      <c r="B29" t="s">
        <v>11</v>
      </c>
      <c r="C29" t="str" cm="1">
        <f t="array" ref="C29">_xlfn.XLOOKUP(1,
   (tblDecks[Commander]=tblGamePlayers[[#This Row],[Commander]])*
   (tblDecks[PlayerName]=tblGamePlayers[[#This Row],[PlayerName]]),
   tblDecks[DeckID],
   ""
)</f>
        <v>D32</v>
      </c>
      <c r="D29" s="7" t="s">
        <v>107</v>
      </c>
      <c r="E29" t="s">
        <v>150</v>
      </c>
      <c r="F29" s="2">
        <f>IF(tblGamePlayers[[#This Row],[Result]]="Win",1,0)</f>
        <v>0</v>
      </c>
    </row>
    <row r="30" spans="1:6">
      <c r="A30" s="2" t="s">
        <v>144</v>
      </c>
      <c r="B30" t="s">
        <v>5</v>
      </c>
      <c r="C30" t="str" cm="1">
        <f t="array" ref="C30">_xlfn.XLOOKUP(1,
   (tblDecks[Commander]=tblGamePlayers[[#This Row],[Commander]])*
   (tblDecks[PlayerName]=tblGamePlayers[[#This Row],[PlayerName]]),
   tblDecks[DeckID],
   ""
)</f>
        <v>D13</v>
      </c>
      <c r="D30" s="7" t="s">
        <v>56</v>
      </c>
      <c r="E30" t="s">
        <v>151</v>
      </c>
      <c r="F30" s="2">
        <f>IF(tblGamePlayers[[#This Row],[Result]]="Win",1,0)</f>
        <v>1</v>
      </c>
    </row>
    <row r="31" spans="1:6">
      <c r="A31" s="2" t="s">
        <v>144</v>
      </c>
      <c r="B31" t="s">
        <v>7</v>
      </c>
      <c r="C31" t="str" cm="1">
        <f t="array" ref="C31">_xlfn.XLOOKUP(1,
   (tblDecks[Commander]=tblGamePlayers[[#This Row],[Commander]])*
   (tblDecks[PlayerName]=tblGamePlayers[[#This Row],[PlayerName]]),
   tblDecks[DeckID],
   ""
)</f>
        <v>D25</v>
      </c>
      <c r="D31" s="7" t="s">
        <v>86</v>
      </c>
      <c r="E31" t="s">
        <v>150</v>
      </c>
      <c r="F31" s="2">
        <f>IF(tblGamePlayers[[#This Row],[Result]]="Win",1,0)</f>
        <v>0</v>
      </c>
    </row>
    <row r="32" spans="1:6">
      <c r="A32" s="2" t="s">
        <v>144</v>
      </c>
      <c r="B32" t="s">
        <v>11</v>
      </c>
      <c r="C32" t="str" cm="1">
        <f t="array" ref="C32">_xlfn.XLOOKUP(1,
   (tblDecks[Commander]=tblGamePlayers[[#This Row],[Commander]])*
   (tblDecks[PlayerName]=tblGamePlayers[[#This Row],[PlayerName]]),
   tblDecks[DeckID],
   ""
)</f>
        <v>D33</v>
      </c>
      <c r="D32" s="7" t="s">
        <v>58</v>
      </c>
      <c r="E32" t="s">
        <v>150</v>
      </c>
      <c r="F32" s="2">
        <f>IF(tblGamePlayers[[#This Row],[Result]]="Win",1,0)</f>
        <v>0</v>
      </c>
    </row>
    <row r="33" spans="1:6">
      <c r="A33" s="2" t="s">
        <v>144</v>
      </c>
      <c r="B33" t="s">
        <v>9</v>
      </c>
      <c r="C33" t="str" cm="1">
        <f t="array" ref="C33">_xlfn.XLOOKUP(1,
   (tblDecks[Commander]=tblGamePlayers[[#This Row],[Commander]])*
   (tblDecks[PlayerName]=tblGamePlayers[[#This Row],[PlayerName]]),
   tblDecks[DeckID],
   ""
)</f>
        <v>D19</v>
      </c>
      <c r="D33" s="7" t="s">
        <v>71</v>
      </c>
      <c r="E33" t="s">
        <v>150</v>
      </c>
      <c r="F33" s="2">
        <f>IF(tblGamePlayers[[#This Row],[Result]]="Win",1,0)</f>
        <v>0</v>
      </c>
    </row>
    <row r="34" spans="1:6">
      <c r="A34" s="2" t="s">
        <v>145</v>
      </c>
      <c r="B34" t="s">
        <v>3</v>
      </c>
      <c r="C34" t="str" cm="1">
        <f t="array" ref="C34">_xlfn.XLOOKUP(1,
   (tblDecks[Commander]=tblGamePlayers[[#This Row],[Commander]])*
   (tblDecks[PlayerName]=tblGamePlayers[[#This Row],[PlayerName]]),
   tblDecks[DeckID],
   ""
)</f>
        <v>D40</v>
      </c>
      <c r="D34" s="7" t="s">
        <v>125</v>
      </c>
      <c r="E34" t="s">
        <v>150</v>
      </c>
      <c r="F34" s="2">
        <f>IF(tblGamePlayers[[#This Row],[Result]]="Win",1,0)</f>
        <v>0</v>
      </c>
    </row>
    <row r="35" spans="1:6">
      <c r="A35" s="2" t="s">
        <v>145</v>
      </c>
      <c r="B35" t="s">
        <v>9</v>
      </c>
      <c r="C35" t="str" cm="1">
        <f t="array" ref="C35">_xlfn.XLOOKUP(1,
   (tblDecks[Commander]=tblGamePlayers[[#This Row],[Commander]])*
   (tblDecks[PlayerName]=tblGamePlayers[[#This Row],[PlayerName]]),
   tblDecks[DeckID],
   ""
)</f>
        <v>D41</v>
      </c>
      <c r="D35" s="7" t="s">
        <v>128</v>
      </c>
      <c r="E35" t="s">
        <v>150</v>
      </c>
      <c r="F35" s="2">
        <f>IF(tblGamePlayers[[#This Row],[Result]]="Win",1,0)</f>
        <v>0</v>
      </c>
    </row>
    <row r="36" spans="1:6">
      <c r="A36" s="2" t="s">
        <v>145</v>
      </c>
      <c r="B36" t="s">
        <v>11</v>
      </c>
      <c r="C36" t="str" cm="1">
        <f t="array" ref="C36">_xlfn.XLOOKUP(1,
   (tblDecks[Commander]=tblGamePlayers[[#This Row],[Commander]])*
   (tblDecks[PlayerName]=tblGamePlayers[[#This Row],[PlayerName]]),
   tblDecks[DeckID],
   ""
)</f>
        <v>D31</v>
      </c>
      <c r="D36" s="7" t="s">
        <v>104</v>
      </c>
      <c r="E36" t="s">
        <v>150</v>
      </c>
      <c r="F36" s="2">
        <f>IF(tblGamePlayers[[#This Row],[Result]]="Win",1,0)</f>
        <v>0</v>
      </c>
    </row>
    <row r="37" spans="1:6">
      <c r="A37" s="2" t="s">
        <v>145</v>
      </c>
      <c r="B37" t="s">
        <v>5</v>
      </c>
      <c r="C37" t="str" cm="1">
        <f t="array" ref="C37">_xlfn.XLOOKUP(1,
   (tblDecks[Commander]=tblGamePlayers[[#This Row],[Commander]])*
   (tblDecks[PlayerName]=tblGamePlayers[[#This Row],[PlayerName]]),
   tblDecks[DeckID],
   ""
)</f>
        <v>D10</v>
      </c>
      <c r="D37" s="7" t="s">
        <v>49</v>
      </c>
      <c r="E37" t="s">
        <v>151</v>
      </c>
      <c r="F37" s="2">
        <f>IF(tblGamePlayers[[#This Row],[Result]]="Win",1,0)</f>
        <v>1</v>
      </c>
    </row>
    <row r="38" spans="1:6">
      <c r="A38" s="2" t="s">
        <v>147</v>
      </c>
      <c r="B38" t="s">
        <v>3</v>
      </c>
      <c r="C38" t="str" cm="1">
        <f t="array" ref="C38">_xlfn.XLOOKUP(1,
   (tblDecks[Commander]=tblGamePlayers[[#This Row],[Commander]])*
   (tblDecks[PlayerName]=tblGamePlayers[[#This Row],[PlayerName]]),
   tblDecks[DeckID],
   ""
)</f>
        <v>D40</v>
      </c>
      <c r="D38" s="7" t="s">
        <v>125</v>
      </c>
      <c r="E38" t="s">
        <v>150</v>
      </c>
      <c r="F38" s="2">
        <f>IF(tblGamePlayers[[#This Row],[Result]]="Win",1,0)</f>
        <v>0</v>
      </c>
    </row>
    <row r="39" spans="1:6">
      <c r="A39" s="2" t="s">
        <v>147</v>
      </c>
      <c r="B39" t="s">
        <v>9</v>
      </c>
      <c r="C39" t="str" cm="1">
        <f t="array" ref="C39">_xlfn.XLOOKUP(1,
   (tblDecks[Commander]=tblGamePlayers[[#This Row],[Commander]])*
   (tblDecks[PlayerName]=tblGamePlayers[[#This Row],[PlayerName]]),
   tblDecks[DeckID],
   ""
)</f>
        <v>D41</v>
      </c>
      <c r="D39" s="7" t="s">
        <v>128</v>
      </c>
      <c r="E39" t="s">
        <v>150</v>
      </c>
      <c r="F39" s="2">
        <f>IF(tblGamePlayers[[#This Row],[Result]]="Win",1,0)</f>
        <v>0</v>
      </c>
    </row>
    <row r="40" spans="1:6">
      <c r="A40" s="2" t="s">
        <v>147</v>
      </c>
      <c r="B40" t="s">
        <v>5</v>
      </c>
      <c r="C40" t="str" cm="1">
        <f t="array" ref="C40">_xlfn.XLOOKUP(1,
   (tblDecks[Commander]=tblGamePlayers[[#This Row],[Commander]])*
   (tblDecks[PlayerName]=tblGamePlayers[[#This Row],[PlayerName]]),
   tblDecks[DeckID],
   ""
)</f>
        <v>D15</v>
      </c>
      <c r="D40" s="7" t="s">
        <v>61</v>
      </c>
      <c r="E40" t="s">
        <v>151</v>
      </c>
      <c r="F40" s="2">
        <f>IF(tblGamePlayers[[#This Row],[Result]]="Win",1,0)</f>
        <v>1</v>
      </c>
    </row>
    <row r="41" spans="1:6">
      <c r="A41" s="2" t="s">
        <v>147</v>
      </c>
      <c r="B41" t="s">
        <v>11</v>
      </c>
      <c r="C41" t="str" cm="1">
        <f t="array" ref="C41">_xlfn.XLOOKUP(1,
   (tblDecks[Commander]=tblGamePlayers[[#This Row],[Commander]])*
   (tblDecks[PlayerName]=tblGamePlayers[[#This Row],[PlayerName]]),
   tblDecks[DeckID],
   ""
)</f>
        <v>D32</v>
      </c>
      <c r="D41" s="7" t="s">
        <v>107</v>
      </c>
      <c r="E41" t="s">
        <v>150</v>
      </c>
      <c r="F41" s="2">
        <f>IF(tblGamePlayers[[#This Row],[Result]]="Win",1,0)</f>
        <v>0</v>
      </c>
    </row>
  </sheetData>
  <phoneticPr fontId="3" type="noConversion"/>
  <dataValidations count="2">
    <dataValidation type="list" allowBlank="1" showInputMessage="1" showErrorMessage="1" sqref="B2:B41" xr:uid="{8681415D-26E5-48F3-B990-4324A23F1CFB}">
      <formula1>PlayerList</formula1>
    </dataValidation>
    <dataValidation type="list" allowBlank="1" showInputMessage="1" showErrorMessage="1" sqref="D2:D41" xr:uid="{9AB3173F-ADED-4CC0-9DF0-944D59BAC803}">
      <formula1>CommanderList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D5EF-FA4E-4366-BDF6-EE476BE4A0C0}">
  <dimension ref="A1:H42"/>
  <sheetViews>
    <sheetView workbookViewId="0">
      <selection activeCell="D44" sqref="D44"/>
    </sheetView>
  </sheetViews>
  <sheetFormatPr defaultRowHeight="15"/>
  <cols>
    <col min="1" max="1" width="9.7109375" customWidth="1"/>
    <col min="2" max="2" width="49.28515625" customWidth="1"/>
    <col min="3" max="3" width="14" customWidth="1"/>
    <col min="4" max="4" width="14.28515625" customWidth="1"/>
    <col min="6" max="6" width="9.42578125" customWidth="1"/>
    <col min="7" max="7" width="9.140625" style="6"/>
  </cols>
  <sheetData>
    <row r="1" spans="1:7">
      <c r="A1" s="1" t="s">
        <v>16</v>
      </c>
      <c r="B1" s="1" t="s">
        <v>17</v>
      </c>
      <c r="C1" s="1" t="s">
        <v>1</v>
      </c>
      <c r="D1" s="1" t="s">
        <v>152</v>
      </c>
      <c r="E1" s="1" t="s">
        <v>153</v>
      </c>
      <c r="F1" s="1" t="s">
        <v>154</v>
      </c>
      <c r="G1" s="5" t="s">
        <v>155</v>
      </c>
    </row>
    <row r="2" spans="1:7">
      <c r="A2" s="2" t="s">
        <v>21</v>
      </c>
      <c r="B2" t="str">
        <f>_xlfn.XLOOKUP(Table6[[#This Row],[DeckID]], tblDecks[DeckID], tblDecks[Commander], "")</f>
        <v>Arixmethes, Slumbering Isle</v>
      </c>
      <c r="C2" t="str">
        <f>_xlfn.XLOOKUP(Table6[[#This Row],[DeckID]], tblDecks[DeckID], tblDecks[PlayerName], "")</f>
        <v>Shane</v>
      </c>
      <c r="D2">
        <f>COUNTIF(tblGamePlayers[DeckID],Table6[[#This Row],[DeckID]])</f>
        <v>1</v>
      </c>
      <c r="E2">
        <f>COUNTIFS(tblGamePlayers[DeckID],Table6[[#This Row],[DeckID]], tblGamePlayers[Result],"Win")</f>
        <v>0</v>
      </c>
      <c r="F2">
        <f>COUNTIFS(tblGamePlayers[DeckID],Table6[[#This Row],[DeckID]], tblGamePlayers[Result],"Loss")</f>
        <v>1</v>
      </c>
      <c r="G2" s="6">
        <f>IF(Table6[[#This Row],[Total Games]]=0,0,Table6[[#This Row],[Wins]]/Table6[[#This Row],[Total Games]])</f>
        <v>0</v>
      </c>
    </row>
    <row r="3" spans="1:7">
      <c r="A3" s="2" t="s">
        <v>24</v>
      </c>
      <c r="B3" t="str">
        <f>_xlfn.XLOOKUP(Table6[[#This Row],[DeckID]], tblDecks[DeckID], tblDecks[Commander], "")</f>
        <v>Toralf, God of Fury</v>
      </c>
      <c r="C3" t="str">
        <f>_xlfn.XLOOKUP(Table6[[#This Row],[DeckID]], tblDecks[DeckID], tblDecks[PlayerName], "")</f>
        <v>Shane</v>
      </c>
      <c r="D3">
        <f>COUNTIF(tblGamePlayers[DeckID],Table6[[#This Row],[DeckID]])</f>
        <v>0</v>
      </c>
      <c r="E3">
        <f>COUNTIFS(tblGamePlayers[DeckID],Table6[[#This Row],[DeckID]], tblGamePlayers[Result],"Win")</f>
        <v>0</v>
      </c>
      <c r="F3">
        <f>COUNTIFS(tblGamePlayers[DeckID],Table6[[#This Row],[DeckID]], tblGamePlayers[Result],"Loss")</f>
        <v>0</v>
      </c>
      <c r="G3" s="6">
        <f>IF(Table6[[#This Row],[Total Games]]=0,0,Table6[[#This Row],[Wins]]/Table6[[#This Row],[Total Games]])</f>
        <v>0</v>
      </c>
    </row>
    <row r="4" spans="1:7">
      <c r="A4" s="2" t="s">
        <v>27</v>
      </c>
      <c r="B4" t="str">
        <f>_xlfn.XLOOKUP(Table6[[#This Row],[DeckID]], tblDecks[DeckID], tblDecks[Commander], "")</f>
        <v>Elesh Norn, Grand Cenobite</v>
      </c>
      <c r="C4" t="str">
        <f>_xlfn.XLOOKUP(Table6[[#This Row],[DeckID]], tblDecks[DeckID], tblDecks[PlayerName], "")</f>
        <v>Shane</v>
      </c>
      <c r="D4">
        <f>COUNTIF(tblGamePlayers[DeckID],Table6[[#This Row],[DeckID]])</f>
        <v>0</v>
      </c>
      <c r="E4">
        <f>COUNTIFS(tblGamePlayers[DeckID],Table6[[#This Row],[DeckID]], tblGamePlayers[Result],"Win")</f>
        <v>0</v>
      </c>
      <c r="F4">
        <f>COUNTIFS(tblGamePlayers[DeckID],Table6[[#This Row],[DeckID]], tblGamePlayers[Result],"Loss")</f>
        <v>0</v>
      </c>
      <c r="G4" s="6">
        <f>IF(Table6[[#This Row],[Total Games]]=0,0,Table6[[#This Row],[Wins]]/Table6[[#This Row],[Total Games]])</f>
        <v>0</v>
      </c>
    </row>
    <row r="5" spans="1:7">
      <c r="A5" s="2" t="s">
        <v>30</v>
      </c>
      <c r="B5" t="str">
        <f>_xlfn.XLOOKUP(Table6[[#This Row],[DeckID]], tblDecks[DeckID], tblDecks[Commander], "")</f>
        <v>Norman Osborn // Green Goblin</v>
      </c>
      <c r="C5" t="str">
        <f>_xlfn.XLOOKUP(Table6[[#This Row],[DeckID]], tblDecks[DeckID], tblDecks[PlayerName], "")</f>
        <v>Shane</v>
      </c>
      <c r="D5">
        <f>COUNTIF(tblGamePlayers[DeckID],Table6[[#This Row],[DeckID]])</f>
        <v>1</v>
      </c>
      <c r="E5">
        <f>COUNTIFS(tblGamePlayers[DeckID],Table6[[#This Row],[DeckID]], tblGamePlayers[Result],"Win")</f>
        <v>1</v>
      </c>
      <c r="F5">
        <f>COUNTIFS(tblGamePlayers[DeckID],Table6[[#This Row],[DeckID]], tblGamePlayers[Result],"Loss")</f>
        <v>0</v>
      </c>
      <c r="G5" s="6">
        <f>IF(Table6[[#This Row],[Total Games]]=0,0,Table6[[#This Row],[Wins]]/Table6[[#This Row],[Total Games]])</f>
        <v>1</v>
      </c>
    </row>
    <row r="6" spans="1:7">
      <c r="A6" s="2" t="s">
        <v>33</v>
      </c>
      <c r="B6" t="str">
        <f>_xlfn.XLOOKUP(Table6[[#This Row],[DeckID]], tblDecks[DeckID], tblDecks[Commander], "")</f>
        <v>Lynde, Cheerful Tormentor</v>
      </c>
      <c r="C6" t="str">
        <f>_xlfn.XLOOKUP(Table6[[#This Row],[DeckID]], tblDecks[DeckID], tblDecks[PlayerName], "")</f>
        <v>Shane</v>
      </c>
      <c r="D6">
        <f>COUNTIF(tblGamePlayers[DeckID],Table6[[#This Row],[DeckID]])</f>
        <v>1</v>
      </c>
      <c r="E6">
        <f>COUNTIFS(tblGamePlayers[DeckID],Table6[[#This Row],[DeckID]], tblGamePlayers[Result],"Win")</f>
        <v>0</v>
      </c>
      <c r="F6">
        <f>COUNTIFS(tblGamePlayers[DeckID],Table6[[#This Row],[DeckID]], tblGamePlayers[Result],"Loss")</f>
        <v>1</v>
      </c>
      <c r="G6" s="6">
        <f>IF(Table6[[#This Row],[Total Games]]=0,0,Table6[[#This Row],[Wins]]/Table6[[#This Row],[Total Games]])</f>
        <v>0</v>
      </c>
    </row>
    <row r="7" spans="1:7">
      <c r="A7" s="2" t="s">
        <v>36</v>
      </c>
      <c r="B7" t="str">
        <f>_xlfn.XLOOKUP(Table6[[#This Row],[DeckID]], tblDecks[DeckID], tblDecks[Commander], "")</f>
        <v>Zidane, Tantalus Thief</v>
      </c>
      <c r="C7" t="str">
        <f>_xlfn.XLOOKUP(Table6[[#This Row],[DeckID]], tblDecks[DeckID], tblDecks[PlayerName], "")</f>
        <v>Shane</v>
      </c>
      <c r="D7">
        <f>COUNTIF(tblGamePlayers[DeckID],Table6[[#This Row],[DeckID]])</f>
        <v>1</v>
      </c>
      <c r="E7">
        <f>COUNTIFS(tblGamePlayers[DeckID],Table6[[#This Row],[DeckID]], tblGamePlayers[Result],"Win")</f>
        <v>0</v>
      </c>
      <c r="F7">
        <f>COUNTIFS(tblGamePlayers[DeckID],Table6[[#This Row],[DeckID]], tblGamePlayers[Result],"Loss")</f>
        <v>1</v>
      </c>
      <c r="G7" s="6">
        <f>IF(Table6[[#This Row],[Total Games]]=0,0,Table6[[#This Row],[Wins]]/Table6[[#This Row],[Total Games]])</f>
        <v>0</v>
      </c>
    </row>
    <row r="8" spans="1:7">
      <c r="A8" s="2" t="s">
        <v>39</v>
      </c>
      <c r="B8" t="str">
        <f>_xlfn.XLOOKUP(Table6[[#This Row],[DeckID]], tblDecks[DeckID], tblDecks[Commander], "")</f>
        <v>Akiri, Line-Slinger/Silas Renn, Seeker Adept</v>
      </c>
      <c r="C8" t="str">
        <f>_xlfn.XLOOKUP(Table6[[#This Row],[DeckID]], tblDecks[DeckID], tblDecks[PlayerName], "")</f>
        <v>Shane</v>
      </c>
      <c r="D8">
        <f>COUNTIF(tblGamePlayers[DeckID],Table6[[#This Row],[DeckID]])</f>
        <v>0</v>
      </c>
      <c r="E8">
        <f>COUNTIFS(tblGamePlayers[DeckID],Table6[[#This Row],[DeckID]], tblGamePlayers[Result],"Win")</f>
        <v>0</v>
      </c>
      <c r="F8">
        <f>COUNTIFS(tblGamePlayers[DeckID],Table6[[#This Row],[DeckID]], tblGamePlayers[Result],"Loss")</f>
        <v>0</v>
      </c>
      <c r="G8" s="6">
        <f>IF(Table6[[#This Row],[Total Games]]=0,0,Table6[[#This Row],[Wins]]/Table6[[#This Row],[Total Games]])</f>
        <v>0</v>
      </c>
    </row>
    <row r="9" spans="1:7">
      <c r="A9" s="2" t="s">
        <v>42</v>
      </c>
      <c r="B9" t="str">
        <f>_xlfn.XLOOKUP(Table6[[#This Row],[DeckID]], tblDecks[DeckID], tblDecks[Commander], "")</f>
        <v>Saruman of Many Colors</v>
      </c>
      <c r="C9" t="str">
        <f>_xlfn.XLOOKUP(Table6[[#This Row],[DeckID]], tblDecks[DeckID], tblDecks[PlayerName], "")</f>
        <v>Nick</v>
      </c>
      <c r="D9">
        <f>COUNTIF(tblGamePlayers[DeckID],Table6[[#This Row],[DeckID]])</f>
        <v>1</v>
      </c>
      <c r="E9">
        <f>COUNTIFS(tblGamePlayers[DeckID],Table6[[#This Row],[DeckID]], tblGamePlayers[Result],"Win")</f>
        <v>0</v>
      </c>
      <c r="F9">
        <f>COUNTIFS(tblGamePlayers[DeckID],Table6[[#This Row],[DeckID]], tblGamePlayers[Result],"Loss")</f>
        <v>1</v>
      </c>
      <c r="G9" s="6">
        <f>IF(Table6[[#This Row],[Total Games]]=0,0,Table6[[#This Row],[Wins]]/Table6[[#This Row],[Total Games]])</f>
        <v>0</v>
      </c>
    </row>
    <row r="10" spans="1:7">
      <c r="A10" s="2" t="s">
        <v>45</v>
      </c>
      <c r="B10" t="str">
        <f>_xlfn.XLOOKUP(Table6[[#This Row],[DeckID]], tblDecks[DeckID], tblDecks[Commander], "")</f>
        <v>Clive, Ifrit's Dominant</v>
      </c>
      <c r="C10" t="str">
        <f>_xlfn.XLOOKUP(Table6[[#This Row],[DeckID]], tblDecks[DeckID], tblDecks[PlayerName], "")</f>
        <v>Nick</v>
      </c>
      <c r="D10">
        <f>COUNTIF(tblGamePlayers[DeckID],Table6[[#This Row],[DeckID]])</f>
        <v>0</v>
      </c>
      <c r="E10">
        <f>COUNTIFS(tblGamePlayers[DeckID],Table6[[#This Row],[DeckID]], tblGamePlayers[Result],"Win")</f>
        <v>0</v>
      </c>
      <c r="F10">
        <f>COUNTIFS(tblGamePlayers[DeckID],Table6[[#This Row],[DeckID]], tblGamePlayers[Result],"Loss")</f>
        <v>0</v>
      </c>
      <c r="G10" s="6">
        <f>IF(Table6[[#This Row],[Total Games]]=0,0,Table6[[#This Row],[Wins]]/Table6[[#This Row],[Total Games]])</f>
        <v>0</v>
      </c>
    </row>
    <row r="11" spans="1:7">
      <c r="A11" s="2" t="s">
        <v>48</v>
      </c>
      <c r="B11" t="str">
        <f>_xlfn.XLOOKUP(Table6[[#This Row],[DeckID]], tblDecks[DeckID], tblDecks[Commander], "")</f>
        <v>Aragorn, King of Gondor</v>
      </c>
      <c r="C11" t="str">
        <f>_xlfn.XLOOKUP(Table6[[#This Row],[DeckID]], tblDecks[DeckID], tblDecks[PlayerName], "")</f>
        <v>Nick</v>
      </c>
      <c r="D11">
        <f>COUNTIF(tblGamePlayers[DeckID],Table6[[#This Row],[DeckID]])</f>
        <v>1</v>
      </c>
      <c r="E11">
        <f>COUNTIFS(tblGamePlayers[DeckID],Table6[[#This Row],[DeckID]], tblGamePlayers[Result],"Win")</f>
        <v>1</v>
      </c>
      <c r="F11">
        <f>COUNTIFS(tblGamePlayers[DeckID],Table6[[#This Row],[DeckID]], tblGamePlayers[Result],"Loss")</f>
        <v>0</v>
      </c>
      <c r="G11" s="6">
        <f>IF(Table6[[#This Row],[Total Games]]=0,0,Table6[[#This Row],[Wins]]/Table6[[#This Row],[Total Games]])</f>
        <v>1</v>
      </c>
    </row>
    <row r="12" spans="1:7">
      <c r="A12" s="2" t="s">
        <v>50</v>
      </c>
      <c r="B12" t="str">
        <f>_xlfn.XLOOKUP(Table6[[#This Row],[DeckID]], tblDecks[DeckID], tblDecks[Commander], "")</f>
        <v>Cloud, Ex-SOLDIER</v>
      </c>
      <c r="C12" t="str">
        <f>_xlfn.XLOOKUP(Table6[[#This Row],[DeckID]], tblDecks[DeckID], tblDecks[PlayerName], "")</f>
        <v>Nick</v>
      </c>
      <c r="D12">
        <f>COUNTIF(tblGamePlayers[DeckID],Table6[[#This Row],[DeckID]])</f>
        <v>0</v>
      </c>
      <c r="E12">
        <f>COUNTIFS(tblGamePlayers[DeckID],Table6[[#This Row],[DeckID]], tblGamePlayers[Result],"Win")</f>
        <v>0</v>
      </c>
      <c r="F12">
        <f>COUNTIFS(tblGamePlayers[DeckID],Table6[[#This Row],[DeckID]], tblGamePlayers[Result],"Loss")</f>
        <v>0</v>
      </c>
      <c r="G12" s="6">
        <f>IF(Table6[[#This Row],[Total Games]]=0,0,Table6[[#This Row],[Wins]]/Table6[[#This Row],[Total Games]])</f>
        <v>0</v>
      </c>
    </row>
    <row r="13" spans="1:7">
      <c r="A13" s="2" t="s">
        <v>53</v>
      </c>
      <c r="B13" t="str">
        <f>_xlfn.XLOOKUP(Table6[[#This Row],[DeckID]], tblDecks[DeckID], tblDecks[Commander], "")</f>
        <v>Fire Lord Zuko</v>
      </c>
      <c r="C13" t="str">
        <f>_xlfn.XLOOKUP(Table6[[#This Row],[DeckID]], tblDecks[DeckID], tblDecks[PlayerName], "")</f>
        <v>Nick</v>
      </c>
      <c r="D13">
        <f>COUNTIF(tblGamePlayers[DeckID],Table6[[#This Row],[DeckID]])</f>
        <v>1</v>
      </c>
      <c r="E13">
        <f>COUNTIFS(tblGamePlayers[DeckID],Table6[[#This Row],[DeckID]], tblGamePlayers[Result],"Win")</f>
        <v>1</v>
      </c>
      <c r="F13">
        <f>COUNTIFS(tblGamePlayers[DeckID],Table6[[#This Row],[DeckID]], tblGamePlayers[Result],"Loss")</f>
        <v>0</v>
      </c>
      <c r="G13" s="6">
        <f>IF(Table6[[#This Row],[Total Games]]=0,0,Table6[[#This Row],[Wins]]/Table6[[#This Row],[Total Games]])</f>
        <v>1</v>
      </c>
    </row>
    <row r="14" spans="1:7">
      <c r="A14" s="2" t="s">
        <v>55</v>
      </c>
      <c r="B14" t="str">
        <f>_xlfn.XLOOKUP(Table6[[#This Row],[DeckID]], tblDecks[DeckID], tblDecks[Commander], "")</f>
        <v>Ureni of the Unwritten</v>
      </c>
      <c r="C14" t="str">
        <f>_xlfn.XLOOKUP(Table6[[#This Row],[DeckID]], tblDecks[DeckID], tblDecks[PlayerName], "")</f>
        <v>Nick</v>
      </c>
      <c r="D14">
        <f>COUNTIF(tblGamePlayers[DeckID],Table6[[#This Row],[DeckID]])</f>
        <v>1</v>
      </c>
      <c r="E14">
        <f>COUNTIFS(tblGamePlayers[DeckID],Table6[[#This Row],[DeckID]], tblGamePlayers[Result],"Win")</f>
        <v>1</v>
      </c>
      <c r="F14">
        <f>COUNTIFS(tblGamePlayers[DeckID],Table6[[#This Row],[DeckID]], tblGamePlayers[Result],"Loss")</f>
        <v>0</v>
      </c>
      <c r="G14" s="6">
        <f>IF(Table6[[#This Row],[Total Games]]=0,0,Table6[[#This Row],[Wins]]/Table6[[#This Row],[Total Games]])</f>
        <v>1</v>
      </c>
    </row>
    <row r="15" spans="1:7">
      <c r="A15" s="2" t="s">
        <v>57</v>
      </c>
      <c r="B15" t="str">
        <f>_xlfn.XLOOKUP(Table6[[#This Row],[DeckID]], tblDecks[DeckID], tblDecks[Commander], "")</f>
        <v>Teval, the Balanced Scale</v>
      </c>
      <c r="C15" t="str">
        <f>_xlfn.XLOOKUP(Table6[[#This Row],[DeckID]], tblDecks[DeckID], tblDecks[PlayerName], "")</f>
        <v>Nick</v>
      </c>
      <c r="D15">
        <f>COUNTIF(tblGamePlayers[DeckID],Table6[[#This Row],[DeckID]])</f>
        <v>0</v>
      </c>
      <c r="E15">
        <f>COUNTIFS(tblGamePlayers[DeckID],Table6[[#This Row],[DeckID]], tblGamePlayers[Result],"Win")</f>
        <v>0</v>
      </c>
      <c r="F15">
        <f>COUNTIFS(tblGamePlayers[DeckID],Table6[[#This Row],[DeckID]], tblGamePlayers[Result],"Loss")</f>
        <v>0</v>
      </c>
      <c r="G15" s="6">
        <f>IF(Table6[[#This Row],[Total Games]]=0,0,Table6[[#This Row],[Wins]]/Table6[[#This Row],[Total Games]])</f>
        <v>0</v>
      </c>
    </row>
    <row r="16" spans="1:7">
      <c r="A16" s="2" t="s">
        <v>60</v>
      </c>
      <c r="B16" t="str">
        <f>_xlfn.XLOOKUP(Table6[[#This Row],[DeckID]], tblDecks[DeckID], tblDecks[Commander], "")</f>
        <v>Baylen, the Haymaker</v>
      </c>
      <c r="C16" t="str">
        <f>_xlfn.XLOOKUP(Table6[[#This Row],[DeckID]], tblDecks[DeckID], tblDecks[PlayerName], "")</f>
        <v>Nick</v>
      </c>
      <c r="D16">
        <f>COUNTIF(tblGamePlayers[DeckID],Table6[[#This Row],[DeckID]])</f>
        <v>1</v>
      </c>
      <c r="E16">
        <f>COUNTIFS(tblGamePlayers[DeckID],Table6[[#This Row],[DeckID]], tblGamePlayers[Result],"Win")</f>
        <v>1</v>
      </c>
      <c r="F16">
        <f>COUNTIFS(tblGamePlayers[DeckID],Table6[[#This Row],[DeckID]], tblGamePlayers[Result],"Loss")</f>
        <v>0</v>
      </c>
      <c r="G16" s="6">
        <f>IF(Table6[[#This Row],[Total Games]]=0,0,Table6[[#This Row],[Wins]]/Table6[[#This Row],[Total Games]])</f>
        <v>1</v>
      </c>
    </row>
    <row r="17" spans="1:7">
      <c r="A17" s="2" t="s">
        <v>62</v>
      </c>
      <c r="B17" t="str">
        <f>_xlfn.XLOOKUP(Table6[[#This Row],[DeckID]], tblDecks[DeckID], tblDecks[Commander], "")</f>
        <v>Valgavoth, Harrower of Souls</v>
      </c>
      <c r="C17" t="str">
        <f>_xlfn.XLOOKUP(Table6[[#This Row],[DeckID]], tblDecks[DeckID], tblDecks[PlayerName], "")</f>
        <v>Nick</v>
      </c>
      <c r="D17">
        <f>COUNTIF(tblGamePlayers[DeckID],Table6[[#This Row],[DeckID]])</f>
        <v>1</v>
      </c>
      <c r="E17">
        <v>1</v>
      </c>
      <c r="F17">
        <f>COUNTIFS(tblGamePlayers[DeckID],Table6[[#This Row],[DeckID]], tblGamePlayers[Result],"Loss")</f>
        <v>0</v>
      </c>
      <c r="G17" s="6">
        <f>IF(Table6[[#This Row],[Total Games]]=0,0,Table6[[#This Row],[Wins]]/Table6[[#This Row],[Total Games]])</f>
        <v>1</v>
      </c>
    </row>
    <row r="18" spans="1:7">
      <c r="A18" s="2" t="s">
        <v>65</v>
      </c>
      <c r="B18" t="str">
        <f>_xlfn.XLOOKUP(Table6[[#This Row],[DeckID]], tblDecks[DeckID], tblDecks[Commander], "")</f>
        <v>Yuriko, the Tiger's Shadow</v>
      </c>
      <c r="C18" t="str">
        <f>_xlfn.XLOOKUP(Table6[[#This Row],[DeckID]], tblDecks[DeckID], tblDecks[PlayerName], "")</f>
        <v>Nick</v>
      </c>
      <c r="D18">
        <f>COUNTIF(tblGamePlayers[DeckID],Table6[[#This Row],[DeckID]])</f>
        <v>1</v>
      </c>
      <c r="E18">
        <f>COUNTIFS(tblGamePlayers[DeckID],Table6[[#This Row],[DeckID]], tblGamePlayers[Result],"Win")</f>
        <v>1</v>
      </c>
      <c r="F18">
        <f>COUNTIFS(tblGamePlayers[DeckID],Table6[[#This Row],[DeckID]], tblGamePlayers[Result],"Loss")</f>
        <v>0</v>
      </c>
      <c r="G18" s="6">
        <f>IF(Table6[[#This Row],[Total Games]]=0,0,Table6[[#This Row],[Wins]]/Table6[[#This Row],[Total Games]])</f>
        <v>1</v>
      </c>
    </row>
    <row r="19" spans="1:7">
      <c r="A19" s="2" t="s">
        <v>68</v>
      </c>
      <c r="B19" t="str">
        <f>_xlfn.XLOOKUP(Table6[[#This Row],[DeckID]], tblDecks[DeckID], tblDecks[Commander], "")</f>
        <v>Millicent, Restless Revenant</v>
      </c>
      <c r="C19" t="str">
        <f>_xlfn.XLOOKUP(Table6[[#This Row],[DeckID]], tblDecks[DeckID], tblDecks[PlayerName], "")</f>
        <v>Chavez</v>
      </c>
      <c r="D19">
        <f>COUNTIF(tblGamePlayers[DeckID],Table6[[#This Row],[DeckID]])</f>
        <v>1</v>
      </c>
      <c r="E19">
        <f>COUNTIFS(tblGamePlayers[DeckID],Table6[[#This Row],[DeckID]], tblGamePlayers[Result],"Win")</f>
        <v>1</v>
      </c>
      <c r="F19">
        <f>COUNTIFS(tblGamePlayers[DeckID],Table6[[#This Row],[DeckID]], tblGamePlayers[Result],"Loss")</f>
        <v>0</v>
      </c>
      <c r="G19" s="6">
        <f>IF(Table6[[#This Row],[Total Games]]=0,0,Table6[[#This Row],[Wins]]/Table6[[#This Row],[Total Games]])</f>
        <v>1</v>
      </c>
    </row>
    <row r="20" spans="1:7">
      <c r="A20" s="2" t="s">
        <v>70</v>
      </c>
      <c r="B20" t="str">
        <f>_xlfn.XLOOKUP(Table6[[#This Row],[DeckID]], tblDecks[DeckID], tblDecks[Commander], "")</f>
        <v>Ghyrson Starn, Kelermorph</v>
      </c>
      <c r="C20" t="str">
        <f>_xlfn.XLOOKUP(Table6[[#This Row],[DeckID]], tblDecks[DeckID], tblDecks[PlayerName], "")</f>
        <v>Chavez</v>
      </c>
      <c r="D20">
        <f>COUNTIF(tblGamePlayers[DeckID],Table6[[#This Row],[DeckID]])</f>
        <v>2</v>
      </c>
      <c r="E20">
        <f>COUNTIFS(tblGamePlayers[DeckID],Table6[[#This Row],[DeckID]], tblGamePlayers[Result],"Win")</f>
        <v>0</v>
      </c>
      <c r="F20">
        <f>COUNTIFS(tblGamePlayers[DeckID],Table6[[#This Row],[DeckID]], tblGamePlayers[Result],"Loss")</f>
        <v>2</v>
      </c>
      <c r="G20" s="6">
        <f>IF(Table6[[#This Row],[Total Games]]=0,0,Table6[[#This Row],[Wins]]/Table6[[#This Row],[Total Games]])</f>
        <v>0</v>
      </c>
    </row>
    <row r="21" spans="1:7">
      <c r="A21" s="2" t="s">
        <v>73</v>
      </c>
      <c r="B21" t="str">
        <f>_xlfn.XLOOKUP(Table6[[#This Row],[DeckID]], tblDecks[DeckID], tblDecks[Commander], "")</f>
        <v>Dr. Eggman</v>
      </c>
      <c r="C21" t="str">
        <f>_xlfn.XLOOKUP(Table6[[#This Row],[DeckID]], tblDecks[DeckID], tblDecks[PlayerName], "")</f>
        <v>Chavez</v>
      </c>
      <c r="D21">
        <f>COUNTIF(tblGamePlayers[DeckID],Table6[[#This Row],[DeckID]])</f>
        <v>1</v>
      </c>
      <c r="E21">
        <f>COUNTIFS(tblGamePlayers[DeckID],Table6[[#This Row],[DeckID]], tblGamePlayers[Result],"Win")</f>
        <v>0</v>
      </c>
      <c r="F21">
        <f>COUNTIFS(tblGamePlayers[DeckID],Table6[[#This Row],[DeckID]], tblGamePlayers[Result],"Loss")</f>
        <v>1</v>
      </c>
      <c r="G21" s="6">
        <f>IF(Table6[[#This Row],[Total Games]]=0,0,Table6[[#This Row],[Wins]]/Table6[[#This Row],[Total Games]])</f>
        <v>0</v>
      </c>
    </row>
    <row r="22" spans="1:7">
      <c r="A22" s="2" t="s">
        <v>75</v>
      </c>
      <c r="B22" t="str">
        <f>_xlfn.XLOOKUP(Table6[[#This Row],[DeckID]], tblDecks[DeckID], tblDecks[Commander], "")</f>
        <v>Krenko, Mob Boss</v>
      </c>
      <c r="C22" t="str">
        <f>_xlfn.XLOOKUP(Table6[[#This Row],[DeckID]], tblDecks[DeckID], tblDecks[PlayerName], "")</f>
        <v>Chavez</v>
      </c>
      <c r="D22">
        <f>COUNTIF(tblGamePlayers[DeckID],Table6[[#This Row],[DeckID]])</f>
        <v>1</v>
      </c>
      <c r="E22">
        <f>COUNTIFS(tblGamePlayers[DeckID],Table6[[#This Row],[DeckID]], tblGamePlayers[Result],"Win")</f>
        <v>0</v>
      </c>
      <c r="F22">
        <f>COUNTIFS(tblGamePlayers[DeckID],Table6[[#This Row],[DeckID]], tblGamePlayers[Result],"Loss")</f>
        <v>1</v>
      </c>
      <c r="G22" s="6">
        <f>IF(Table6[[#This Row],[Total Games]]=0,0,Table6[[#This Row],[Wins]]/Table6[[#This Row],[Total Games]])</f>
        <v>0</v>
      </c>
    </row>
    <row r="23" spans="1:7">
      <c r="A23" s="2" t="s">
        <v>77</v>
      </c>
      <c r="B23" t="str">
        <f>_xlfn.XLOOKUP(Table6[[#This Row],[DeckID]], tblDecks[DeckID], tblDecks[Commander], "")</f>
        <v>High Perfect Morcant</v>
      </c>
      <c r="C23" t="str">
        <f>_xlfn.XLOOKUP(Table6[[#This Row],[DeckID]], tblDecks[DeckID], tblDecks[PlayerName], "")</f>
        <v>Chavez</v>
      </c>
      <c r="D23">
        <f>COUNTIF(tblGamePlayers[DeckID],Table6[[#This Row],[DeckID]])</f>
        <v>1</v>
      </c>
      <c r="E23">
        <f>COUNTIFS(tblGamePlayers[DeckID],Table6[[#This Row],[DeckID]], tblGamePlayers[Result],"Win")</f>
        <v>0</v>
      </c>
      <c r="F23">
        <f>COUNTIFS(tblGamePlayers[DeckID],Table6[[#This Row],[DeckID]], tblGamePlayers[Result],"Loss")</f>
        <v>1</v>
      </c>
      <c r="G23" s="6">
        <f>IF(Table6[[#This Row],[Total Games]]=0,0,Table6[[#This Row],[Wins]]/Table6[[#This Row],[Total Games]])</f>
        <v>0</v>
      </c>
    </row>
    <row r="24" spans="1:7">
      <c r="A24" s="2" t="s">
        <v>79</v>
      </c>
      <c r="B24" t="str">
        <f>_xlfn.XLOOKUP(Table6[[#This Row],[DeckID]], tblDecks[DeckID], tblDecks[Commander], "")</f>
        <v>Prosper, Tome-Bound</v>
      </c>
      <c r="C24" t="str">
        <f>_xlfn.XLOOKUP(Table6[[#This Row],[DeckID]], tblDecks[DeckID], tblDecks[PlayerName], "")</f>
        <v>Chavez</v>
      </c>
      <c r="D24">
        <f>COUNTIF(tblGamePlayers[DeckID],Table6[[#This Row],[DeckID]])</f>
        <v>1</v>
      </c>
      <c r="E24">
        <f>COUNTIFS(tblGamePlayers[DeckID],Table6[[#This Row],[DeckID]], tblGamePlayers[Result],"Win")</f>
        <v>0</v>
      </c>
      <c r="F24">
        <f>COUNTIFS(tblGamePlayers[DeckID],Table6[[#This Row],[DeckID]], tblGamePlayers[Result],"Loss")</f>
        <v>1</v>
      </c>
      <c r="G24" s="6">
        <f>IF(Table6[[#This Row],[Total Games]]=0,0,Table6[[#This Row],[Wins]]/Table6[[#This Row],[Total Games]])</f>
        <v>0</v>
      </c>
    </row>
    <row r="25" spans="1:7">
      <c r="A25" s="2" t="s">
        <v>82</v>
      </c>
      <c r="B25" t="str">
        <f>_xlfn.XLOOKUP(Table6[[#This Row],[DeckID]], tblDecks[DeckID], tblDecks[Commander], "")</f>
        <v>Sin, Spira's Punishment</v>
      </c>
      <c r="C25" t="str">
        <f>_xlfn.XLOOKUP(Table6[[#This Row],[DeckID]], tblDecks[DeckID], tblDecks[PlayerName], "")</f>
        <v>Chavez</v>
      </c>
      <c r="D25">
        <f>COUNTIF(tblGamePlayers[DeckID],Table6[[#This Row],[DeckID]])</f>
        <v>1</v>
      </c>
      <c r="E25">
        <f>COUNTIFS(tblGamePlayers[DeckID],Table6[[#This Row],[DeckID]], tblGamePlayers[Result],"Win")</f>
        <v>0</v>
      </c>
      <c r="F25">
        <f>COUNTIFS(tblGamePlayers[DeckID],Table6[[#This Row],[DeckID]], tblGamePlayers[Result],"Loss")</f>
        <v>1</v>
      </c>
      <c r="G25" s="6">
        <f>IF(Table6[[#This Row],[Total Games]]=0,0,Table6[[#This Row],[Wins]]/Table6[[#This Row],[Total Games]])</f>
        <v>0</v>
      </c>
    </row>
    <row r="26" spans="1:7">
      <c r="A26" s="2" t="s">
        <v>85</v>
      </c>
      <c r="B26" t="str">
        <f>_xlfn.XLOOKUP(Table6[[#This Row],[DeckID]], tblDecks[DeckID], tblDecks[Commander], "")</f>
        <v>Meren of Clan Nel Toth</v>
      </c>
      <c r="C26" t="str">
        <f>_xlfn.XLOOKUP(Table6[[#This Row],[DeckID]], tblDecks[DeckID], tblDecks[PlayerName], "")</f>
        <v>Isaac</v>
      </c>
      <c r="D26">
        <f>COUNTIF(tblGamePlayers[DeckID],Table6[[#This Row],[DeckID]])</f>
        <v>1</v>
      </c>
      <c r="E26">
        <f>COUNTIFS(tblGamePlayers[DeckID],Table6[[#This Row],[DeckID]], tblGamePlayers[Result],"Win")</f>
        <v>0</v>
      </c>
      <c r="F26">
        <f>COUNTIFS(tblGamePlayers[DeckID],Table6[[#This Row],[DeckID]], tblGamePlayers[Result],"Loss")</f>
        <v>1</v>
      </c>
      <c r="G26" s="6">
        <f>IF(Table6[[#This Row],[Total Games]]=0,0,Table6[[#This Row],[Wins]]/Table6[[#This Row],[Total Games]])</f>
        <v>0</v>
      </c>
    </row>
    <row r="27" spans="1:7">
      <c r="A27" s="2" t="s">
        <v>88</v>
      </c>
      <c r="B27" t="str">
        <f>_xlfn.XLOOKUP(Table6[[#This Row],[DeckID]], tblDecks[DeckID], tblDecks[Commander], "")</f>
        <v>Vial Smasher the Fierce/Sakashima of a Thousand Faces</v>
      </c>
      <c r="C27" t="str">
        <f>_xlfn.XLOOKUP(Table6[[#This Row],[DeckID]], tblDecks[DeckID], tblDecks[PlayerName], "")</f>
        <v>Isaac</v>
      </c>
      <c r="D27">
        <f>COUNTIF(tblGamePlayers[DeckID],Table6[[#This Row],[DeckID]])</f>
        <v>1</v>
      </c>
      <c r="E27">
        <f>COUNTIFS(tblGamePlayers[DeckID],Table6[[#This Row],[DeckID]], tblGamePlayers[Result],"Win")</f>
        <v>1</v>
      </c>
      <c r="F27">
        <f>COUNTIFS(tblGamePlayers[DeckID],Table6[[#This Row],[DeckID]], tblGamePlayers[Result],"Loss")</f>
        <v>0</v>
      </c>
      <c r="G27" s="6">
        <f>IF(Table6[[#This Row],[Total Games]]=0,0,Table6[[#This Row],[Wins]]/Table6[[#This Row],[Total Games]])</f>
        <v>1</v>
      </c>
    </row>
    <row r="28" spans="1:7">
      <c r="A28" s="2" t="s">
        <v>91</v>
      </c>
      <c r="B28" t="str">
        <f>_xlfn.XLOOKUP(Table6[[#This Row],[DeckID]], tblDecks[DeckID], tblDecks[Commander], "")</f>
        <v>Noctis, Prince of Lucis</v>
      </c>
      <c r="C28" t="str">
        <f>_xlfn.XLOOKUP(Table6[[#This Row],[DeckID]], tblDecks[DeckID], tblDecks[PlayerName], "")</f>
        <v>Isaac</v>
      </c>
      <c r="D28">
        <f>COUNTIF(tblGamePlayers[DeckID],Table6[[#This Row],[DeckID]])</f>
        <v>0</v>
      </c>
      <c r="E28">
        <f>COUNTIFS(tblGamePlayers[DeckID],Table6[[#This Row],[DeckID]], tblGamePlayers[Result],"Win")</f>
        <v>0</v>
      </c>
      <c r="F28">
        <f>COUNTIFS(tblGamePlayers[DeckID],Table6[[#This Row],[DeckID]], tblGamePlayers[Result],"Loss")</f>
        <v>0</v>
      </c>
      <c r="G28" s="6">
        <f>IF(Table6[[#This Row],[Total Games]]=0,0,Table6[[#This Row],[Wins]]/Table6[[#This Row],[Total Games]])</f>
        <v>0</v>
      </c>
    </row>
    <row r="29" spans="1:7">
      <c r="A29" s="2" t="s">
        <v>94</v>
      </c>
      <c r="B29" t="str">
        <f>_xlfn.XLOOKUP(Table6[[#This Row],[DeckID]], tblDecks[DeckID], tblDecks[Commander], "")</f>
        <v>Tidus, Yuna's Guardian</v>
      </c>
      <c r="C29" t="str">
        <f>_xlfn.XLOOKUP(Table6[[#This Row],[DeckID]], tblDecks[DeckID], tblDecks[PlayerName], "")</f>
        <v>Isaac</v>
      </c>
      <c r="D29">
        <f>COUNTIF(tblGamePlayers[DeckID],Table6[[#This Row],[DeckID]])</f>
        <v>0</v>
      </c>
      <c r="E29">
        <f>COUNTIFS(tblGamePlayers[DeckID],Table6[[#This Row],[DeckID]], tblGamePlayers[Result],"Win")</f>
        <v>0</v>
      </c>
      <c r="F29">
        <f>COUNTIFS(tblGamePlayers[DeckID],Table6[[#This Row],[DeckID]], tblGamePlayers[Result],"Loss")</f>
        <v>0</v>
      </c>
      <c r="G29" s="6">
        <f>IF(Table6[[#This Row],[Total Games]]=0,0,Table6[[#This Row],[Wins]]/Table6[[#This Row],[Total Games]])</f>
        <v>0</v>
      </c>
    </row>
    <row r="30" spans="1:7">
      <c r="A30" s="2" t="s">
        <v>97</v>
      </c>
      <c r="B30" t="str">
        <f>_xlfn.XLOOKUP(Table6[[#This Row],[DeckID]], tblDecks[DeckID], tblDecks[Commander], "")</f>
        <v>Y'shtola, Night's Blessed</v>
      </c>
      <c r="C30" t="str">
        <f>_xlfn.XLOOKUP(Table6[[#This Row],[DeckID]], tblDecks[DeckID], tblDecks[PlayerName], "")</f>
        <v>Isaac</v>
      </c>
      <c r="D30">
        <f>COUNTIF(tblGamePlayers[DeckID],Table6[[#This Row],[DeckID]])</f>
        <v>0</v>
      </c>
      <c r="E30">
        <f>COUNTIFS(tblGamePlayers[DeckID],Table6[[#This Row],[DeckID]], tblGamePlayers[Result],"Win")</f>
        <v>0</v>
      </c>
      <c r="F30">
        <f>COUNTIFS(tblGamePlayers[DeckID],Table6[[#This Row],[DeckID]], tblGamePlayers[Result],"Loss")</f>
        <v>0</v>
      </c>
      <c r="G30" s="6">
        <f>IF(Table6[[#This Row],[Total Games]]=0,0,Table6[[#This Row],[Wins]]/Table6[[#This Row],[Total Games]])</f>
        <v>0</v>
      </c>
    </row>
    <row r="31" spans="1:7">
      <c r="A31" s="2" t="s">
        <v>100</v>
      </c>
      <c r="B31" t="str">
        <f>_xlfn.XLOOKUP(Table6[[#This Row],[DeckID]], tblDecks[DeckID], tblDecks[Commander], "")</f>
        <v>Hearthhull, the Worldseed</v>
      </c>
      <c r="C31" t="str">
        <f>_xlfn.XLOOKUP(Table6[[#This Row],[DeckID]], tblDecks[DeckID], tblDecks[PlayerName], "")</f>
        <v>Isaac</v>
      </c>
      <c r="D31">
        <f>COUNTIF(tblGamePlayers[DeckID],Table6[[#This Row],[DeckID]])</f>
        <v>2</v>
      </c>
      <c r="E31">
        <f>COUNTIFS(tblGamePlayers[DeckID],Table6[[#This Row],[DeckID]], tblGamePlayers[Result],"Win")</f>
        <v>1</v>
      </c>
      <c r="F31">
        <v>1</v>
      </c>
      <c r="G31" s="6">
        <f>IF(Table6[[#This Row],[Total Games]]=0,0,Table6[[#This Row],[Wins]]/Table6[[#This Row],[Total Games]])</f>
        <v>0.5</v>
      </c>
    </row>
    <row r="32" spans="1:7">
      <c r="A32" s="2" t="s">
        <v>103</v>
      </c>
      <c r="B32" t="str">
        <f>_xlfn.XLOOKUP(Table6[[#This Row],[DeckID]], tblDecks[DeckID], tblDecks[Commander], "")</f>
        <v>Atraxa, Praetors' Voice</v>
      </c>
      <c r="C32" t="str">
        <f>_xlfn.XLOOKUP(Table6[[#This Row],[DeckID]], tblDecks[DeckID], tblDecks[PlayerName], "")</f>
        <v>Mark</v>
      </c>
      <c r="D32">
        <f>COUNTIF(tblGamePlayers[DeckID],Table6[[#This Row],[DeckID]])</f>
        <v>4</v>
      </c>
      <c r="E32">
        <f>COUNTIFS(tblGamePlayers[DeckID],Table6[[#This Row],[DeckID]], tblGamePlayers[Result],"Win")</f>
        <v>0</v>
      </c>
      <c r="F32">
        <f>COUNTIFS(tblGamePlayers[DeckID],Table6[[#This Row],[DeckID]], tblGamePlayers[Result],"Loss")</f>
        <v>4</v>
      </c>
      <c r="G32" s="6">
        <f>IF(Table6[[#This Row],[Total Games]]=0,0,Table6[[#This Row],[Wins]]/Table6[[#This Row],[Total Games]])</f>
        <v>0</v>
      </c>
    </row>
    <row r="33" spans="1:8">
      <c r="A33" s="2" t="s">
        <v>106</v>
      </c>
      <c r="B33" t="str">
        <f>_xlfn.XLOOKUP(Table6[[#This Row],[DeckID]], tblDecks[DeckID], tblDecks[Commander], "")</f>
        <v>Helga, Skittish Seer</v>
      </c>
      <c r="C33" t="str">
        <f>_xlfn.XLOOKUP(Table6[[#This Row],[DeckID]], tblDecks[DeckID], tblDecks[PlayerName], "")</f>
        <v>Mark</v>
      </c>
      <c r="D33">
        <f>COUNTIF(tblGamePlayers[DeckID],Table6[[#This Row],[DeckID]])</f>
        <v>3</v>
      </c>
      <c r="E33">
        <f>COUNTIFS(tblGamePlayers[DeckID],Table6[[#This Row],[DeckID]], tblGamePlayers[Result],"Win")</f>
        <v>0</v>
      </c>
      <c r="F33">
        <f>COUNTIFS(tblGamePlayers[DeckID],Table6[[#This Row],[DeckID]], tblGamePlayers[Result],"Loss")</f>
        <v>3</v>
      </c>
      <c r="G33" s="6">
        <f>IF(Table6[[#This Row],[Total Games]]=0,0,Table6[[#This Row],[Wins]]/Table6[[#This Row],[Total Games]])</f>
        <v>0</v>
      </c>
    </row>
    <row r="34" spans="1:8">
      <c r="A34" s="2" t="s">
        <v>109</v>
      </c>
      <c r="B34" t="str">
        <f>_xlfn.XLOOKUP(Table6[[#This Row],[DeckID]], tblDecks[DeckID], tblDecks[Commander], "")</f>
        <v>Teval, the Balanced Scale</v>
      </c>
      <c r="C34" t="str">
        <f>_xlfn.XLOOKUP(Table6[[#This Row],[DeckID]], tblDecks[DeckID], tblDecks[PlayerName], "")</f>
        <v>Mark</v>
      </c>
      <c r="D34">
        <f>COUNTIF(tblGamePlayers[DeckID],Table6[[#This Row],[DeckID]])</f>
        <v>2</v>
      </c>
      <c r="E34">
        <f>COUNTIFS(tblGamePlayers[DeckID],Table6[[#This Row],[DeckID]], tblGamePlayers[Result],"Win")</f>
        <v>0</v>
      </c>
      <c r="F34">
        <f>COUNTIFS(tblGamePlayers[DeckID],Table6[[#This Row],[DeckID]], tblGamePlayers[Result],"Loss")</f>
        <v>2</v>
      </c>
      <c r="G34" s="6">
        <f>IF(Table6[[#This Row],[Total Games]]=0,0,Table6[[#This Row],[Wins]]/Table6[[#This Row],[Total Games]])</f>
        <v>0</v>
      </c>
    </row>
    <row r="35" spans="1:8">
      <c r="A35" s="2" t="s">
        <v>110</v>
      </c>
      <c r="B35" t="str">
        <f>_xlfn.XLOOKUP(Table6[[#This Row],[DeckID]], tblDecks[DeckID], tblDecks[Commander], "")</f>
        <v>Miirym, Sentinel Wyrm</v>
      </c>
      <c r="C35" t="str">
        <f>_xlfn.XLOOKUP(Table6[[#This Row],[DeckID]], tblDecks[DeckID], tblDecks[PlayerName], "")</f>
        <v>Mark</v>
      </c>
      <c r="D35">
        <f>COUNTIF(tblGamePlayers[DeckID],Table6[[#This Row],[DeckID]])</f>
        <v>0</v>
      </c>
      <c r="E35">
        <f>COUNTIFS(tblGamePlayers[DeckID],Table6[[#This Row],[DeckID]], tblGamePlayers[Result],"Win")</f>
        <v>0</v>
      </c>
      <c r="F35">
        <f>COUNTIFS(tblGamePlayers[DeckID],Table6[[#This Row],[DeckID]], tblGamePlayers[Result],"Loss")</f>
        <v>0</v>
      </c>
      <c r="G35" s="6">
        <f>IF(Table6[[#This Row],[Total Games]]=0,0,Table6[[#This Row],[Wins]]/Table6[[#This Row],[Total Games]])</f>
        <v>0</v>
      </c>
    </row>
    <row r="36" spans="1:8">
      <c r="A36" s="2" t="s">
        <v>112</v>
      </c>
      <c r="B36" t="str">
        <f>_xlfn.XLOOKUP(Table6[[#This Row],[DeckID]], tblDecks[DeckID], tblDecks[Commander], "")</f>
        <v>Tidus, Yuna's Guardian</v>
      </c>
      <c r="C36" t="str">
        <f>_xlfn.XLOOKUP(Table6[[#This Row],[DeckID]], tblDecks[DeckID], tblDecks[PlayerName], "")</f>
        <v>Franklin</v>
      </c>
      <c r="D36">
        <f>COUNTIF(tblGamePlayers[DeckID],Table6[[#This Row],[DeckID]])</f>
        <v>0</v>
      </c>
      <c r="E36">
        <f>COUNTIFS(tblGamePlayers[DeckID],Table6[[#This Row],[DeckID]], tblGamePlayers[Result],"Win")</f>
        <v>0</v>
      </c>
      <c r="F36">
        <f>COUNTIFS(tblGamePlayers[DeckID],Table6[[#This Row],[DeckID]], tblGamePlayers[Result],"Loss")</f>
        <v>0</v>
      </c>
      <c r="G36" s="6">
        <f>IF(Table6[[#This Row],[Total Games]]=0,0,Table6[[#This Row],[Wins]]/Table6[[#This Row],[Total Games]])</f>
        <v>0</v>
      </c>
    </row>
    <row r="37" spans="1:8">
      <c r="A37" s="2" t="s">
        <v>113</v>
      </c>
      <c r="B37" t="str">
        <f>_xlfn.XLOOKUP(Table6[[#This Row],[DeckID]], tblDecks[DeckID], tblDecks[Commander], "")</f>
        <v>Lightning, Army of One</v>
      </c>
      <c r="C37" t="str">
        <f>_xlfn.XLOOKUP(Table6[[#This Row],[DeckID]], tblDecks[DeckID], tblDecks[PlayerName], "")</f>
        <v>Franklin</v>
      </c>
      <c r="D37">
        <f>COUNTIF(tblGamePlayers[DeckID],Table6[[#This Row],[DeckID]])</f>
        <v>0</v>
      </c>
      <c r="E37">
        <f>COUNTIFS(tblGamePlayers[DeckID],Table6[[#This Row],[DeckID]], tblGamePlayers[Result],"Win")</f>
        <v>0</v>
      </c>
      <c r="F37">
        <f>COUNTIFS(tblGamePlayers[DeckID],Table6[[#This Row],[DeckID]], tblGamePlayers[Result],"Loss")</f>
        <v>0</v>
      </c>
      <c r="G37" s="6">
        <f>IF(Table6[[#This Row],[Total Games]]=0,0,Table6[[#This Row],[Wins]]/Table6[[#This Row],[Total Games]])</f>
        <v>0</v>
      </c>
      <c r="H37" s="6"/>
    </row>
    <row r="38" spans="1:8">
      <c r="A38" s="2" t="s">
        <v>116</v>
      </c>
      <c r="B38" t="str">
        <f>_xlfn.XLOOKUP(Table6[[#This Row],[DeckID]], tblDecks[DeckID], tblDecks[Commander], "")</f>
        <v>Eluge, the Shoreless Sea</v>
      </c>
      <c r="C38" t="str">
        <f>_xlfn.XLOOKUP(Table6[[#This Row],[DeckID]], tblDecks[DeckID], tblDecks[PlayerName], "")</f>
        <v>Jon Paul</v>
      </c>
      <c r="D38">
        <f>COUNTIF(tblGamePlayers[DeckID],Table6[[#This Row],[DeckID]])</f>
        <v>0</v>
      </c>
      <c r="E38">
        <f>COUNTIFS(tblGamePlayers[DeckID],Table6[[#This Row],[DeckID]], tblGamePlayers[Result],"Win")</f>
        <v>0</v>
      </c>
      <c r="F38">
        <f>COUNTIFS(tblGamePlayers[DeckID],Table6[[#This Row],[DeckID]], tblGamePlayers[Result],"Loss")</f>
        <v>0</v>
      </c>
      <c r="G38" s="6">
        <f>IF(Table6[[#This Row],[Total Games]]=0,0,Table6[[#This Row],[Wins]]/Table6[[#This Row],[Total Games]])</f>
        <v>0</v>
      </c>
    </row>
    <row r="39" spans="1:8">
      <c r="A39" s="2" t="s">
        <v>119</v>
      </c>
      <c r="B39" t="str">
        <f>_xlfn.XLOOKUP(Table6[[#This Row],[DeckID]], tblDecks[DeckID], tblDecks[Commander], "")</f>
        <v>Ms. Bumbleflower</v>
      </c>
      <c r="C39" t="str">
        <f>_xlfn.XLOOKUP(Table6[[#This Row],[DeckID]], tblDecks[DeckID], tblDecks[PlayerName], "")</f>
        <v>Jon Paul</v>
      </c>
      <c r="D39">
        <f>COUNTIF(tblGamePlayers[DeckID],Table6[[#This Row],[DeckID]])</f>
        <v>0</v>
      </c>
      <c r="E39">
        <f>COUNTIFS(tblGamePlayers[DeckID],Table6[[#This Row],[DeckID]], tblGamePlayers[Result],"Win")</f>
        <v>0</v>
      </c>
      <c r="F39">
        <f>COUNTIFS(tblGamePlayers[DeckID],Table6[[#This Row],[DeckID]], tblGamePlayers[Result],"Loss")</f>
        <v>0</v>
      </c>
      <c r="G39" s="6">
        <f>IF(Table6[[#This Row],[Total Games]]=0,0,Table6[[#This Row],[Wins]]/Table6[[#This Row],[Total Games]])</f>
        <v>0</v>
      </c>
    </row>
    <row r="40" spans="1:8">
      <c r="A40" s="2" t="s">
        <v>122</v>
      </c>
      <c r="B40" t="str">
        <f>_xlfn.XLOOKUP(Table6[[#This Row],[DeckID]], tblDecks[DeckID], tblDecks[Commander], "")</f>
        <v>Noctis, Heir Apparent</v>
      </c>
      <c r="C40" t="str">
        <f>_xlfn.XLOOKUP(Table6[[#This Row],[DeckID]], tblDecks[DeckID], tblDecks[PlayerName], "")</f>
        <v>Franklin</v>
      </c>
      <c r="D40">
        <f>COUNTIF(tblGamePlayers[DeckID],Table6[[#This Row],[DeckID]])</f>
        <v>4</v>
      </c>
      <c r="E40">
        <f>COUNTIFS(tblGamePlayers[DeckID],Table6[[#This Row],[DeckID]], tblGamePlayers[Result],"Win")</f>
        <v>0</v>
      </c>
      <c r="F40">
        <f>COUNTIFS(tblGamePlayers[DeckID],Table6[[#This Row],[DeckID]], tblGamePlayers[Result],"Loss")</f>
        <v>4</v>
      </c>
      <c r="G40" s="6">
        <f>IF(Table6[[#This Row],[Total Games]]=0,0,Table6[[#This Row],[Wins]]/Table6[[#This Row],[Total Games]])</f>
        <v>0</v>
      </c>
    </row>
    <row r="41" spans="1:8">
      <c r="A41" s="2" t="s">
        <v>124</v>
      </c>
      <c r="B41" t="str">
        <f>_xlfn.XLOOKUP(Table6[[#This Row],[DeckID]], tblDecks[DeckID], tblDecks[Commander], "")</f>
        <v>Betor, Ancestor's Voice</v>
      </c>
      <c r="C41" t="str">
        <f>_xlfn.XLOOKUP(Table6[[#This Row],[DeckID]], tblDecks[DeckID], tblDecks[PlayerName], "")</f>
        <v>Shane</v>
      </c>
      <c r="D41">
        <f>COUNTIF(tblGamePlayers[DeckID],Table6[[#This Row],[DeckID]])</f>
        <v>2</v>
      </c>
      <c r="E41">
        <f>COUNTIFS(tblGamePlayers[DeckID],Table6[[#This Row],[DeckID]], tblGamePlayers[Result],"Win")</f>
        <v>0</v>
      </c>
      <c r="F41">
        <f>COUNTIFS(tblGamePlayers[DeckID],Table6[[#This Row],[DeckID]], tblGamePlayers[Result],"Loss")</f>
        <v>2</v>
      </c>
      <c r="G41" s="6">
        <f>IF(Table6[[#This Row],[Total Games]]=0,0,Table6[[#This Row],[Wins]]/Table6[[#This Row],[Total Games]])</f>
        <v>0</v>
      </c>
    </row>
    <row r="42" spans="1:8">
      <c r="A42" s="2" t="s">
        <v>127</v>
      </c>
      <c r="B42" t="str">
        <f>_xlfn.XLOOKUP(Table6[[#This Row],[DeckID]], tblDecks[DeckID], tblDecks[Commander], "")</f>
        <v>Leonardo, The Balance / Donatello, the Brains</v>
      </c>
      <c r="C42" t="str">
        <f>_xlfn.XLOOKUP(Table6[[#This Row],[DeckID]], tblDecks[DeckID], tblDecks[PlayerName], "")</f>
        <v>Chavez</v>
      </c>
      <c r="D42">
        <f>COUNTIF(tblGamePlayers[DeckID],Table6[[#This Row],[DeckID]])</f>
        <v>2</v>
      </c>
      <c r="E42">
        <f>COUNTIFS(tblGamePlayers[DeckID],Table6[[#This Row],[DeckID]], tblGamePlayers[Result],"Win")</f>
        <v>0</v>
      </c>
      <c r="F42">
        <f>COUNTIFS(tblGamePlayers[DeckID],Table6[[#This Row],[DeckID]], tblGamePlayers[Result],"Loss")</f>
        <v>2</v>
      </c>
      <c r="G42" s="6">
        <f>IF(Table6[[#This Row],[Total Games]]=0,0,Table6[[#This Row],[Wins]]/Table6[[#This Row],[Total Games]])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Shane Perez-Brennan</dc:creator>
  <cp:keywords/>
  <dc:description/>
  <cp:lastModifiedBy/>
  <cp:revision/>
  <dcterms:created xsi:type="dcterms:W3CDTF">2026-02-19T22:49:51Z</dcterms:created>
  <dcterms:modified xsi:type="dcterms:W3CDTF">2026-03-05T05:24:36Z</dcterms:modified>
  <cp:category/>
  <cp:contentStatus/>
</cp:coreProperties>
</file>